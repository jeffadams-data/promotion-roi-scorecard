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46f7517cfb82b9/Professional/Promotion ROI Scorecard/"/>
    </mc:Choice>
  </mc:AlternateContent>
  <xr:revisionPtr revIDLastSave="445" documentId="8_{74154C9B-54FB-436D-B682-2A5872892C05}" xr6:coauthVersionLast="47" xr6:coauthVersionMax="47" xr10:uidLastSave="{1F5ABC9D-1D3A-4692-8253-E139362A61DB}"/>
  <bookViews>
    <workbookView xWindow="-105" yWindow="0" windowWidth="26010" windowHeight="20985" xr2:uid="{E27BA364-C894-42F8-8AFF-4C325B2BA164}"/>
  </bookViews>
  <sheets>
    <sheet name="25% Promo" sheetId="3" r:id="rId1"/>
    <sheet name="15% Promo" sheetId="5" r:id="rId2"/>
    <sheet name="Data1" sheetId="1" state="hidden" r:id="rId3"/>
    <sheet name="Data2" sheetId="4" state="hidden" r:id="rId4"/>
    <sheet name="Calcs1" sheetId="2" state="hidden" r:id="rId5"/>
    <sheet name="Calcs2" sheetId="6" state="hidden" r:id="rId6"/>
  </sheets>
  <definedNames>
    <definedName name="_xlchart.v1.0" hidden="1">Calcs1!$L$2:$L$5</definedName>
    <definedName name="_xlchart.v1.1" hidden="1">Calcs1!$M$1</definedName>
    <definedName name="_xlchart.v1.10" hidden="1">Calcs2!$M$1</definedName>
    <definedName name="_xlchart.v1.11" hidden="1">Calcs2!$M$2:$M$5</definedName>
    <definedName name="_xlchart.v1.2" hidden="1">Calcs1!$M$2:$M$5</definedName>
    <definedName name="_xlchart.v1.3" hidden="1">Calcs2!$L$2:$L$5</definedName>
    <definedName name="_xlchart.v1.4" hidden="1">Calcs2!$M$1</definedName>
    <definedName name="_xlchart.v1.5" hidden="1">Calcs2!$M$2:$M$5</definedName>
    <definedName name="_xlchart.v1.6" hidden="1">Calcs1!$L$2:$L$5</definedName>
    <definedName name="_xlchart.v1.7" hidden="1">Calcs1!$M$1</definedName>
    <definedName name="_xlchart.v1.8" hidden="1">Calcs1!$M$2:$M$5</definedName>
    <definedName name="_xlchart.v1.9" hidden="1">Calcs2!$L$2:$L$5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5" l="1"/>
  <c r="J6" i="5"/>
  <c r="H6" i="5"/>
  <c r="F6" i="5"/>
  <c r="D6" i="5"/>
  <c r="B6" i="5"/>
  <c r="J3" i="6"/>
  <c r="J4" i="6"/>
  <c r="J5" i="6"/>
  <c r="J6" i="6"/>
  <c r="J7" i="6"/>
  <c r="J8" i="6"/>
  <c r="J9" i="6"/>
  <c r="J10" i="6"/>
  <c r="J11" i="6"/>
  <c r="J12" i="6"/>
  <c r="J13" i="6"/>
  <c r="J2" i="6"/>
  <c r="I3" i="6"/>
  <c r="I4" i="6"/>
  <c r="I5" i="6"/>
  <c r="I6" i="6"/>
  <c r="I7" i="6"/>
  <c r="I8" i="6"/>
  <c r="I9" i="6"/>
  <c r="I10" i="6"/>
  <c r="I11" i="6"/>
  <c r="I12" i="6"/>
  <c r="I13" i="6"/>
  <c r="I2" i="6"/>
  <c r="F3" i="6"/>
  <c r="F4" i="6"/>
  <c r="F5" i="6"/>
  <c r="F6" i="6"/>
  <c r="F7" i="6"/>
  <c r="F8" i="6"/>
  <c r="F9" i="6"/>
  <c r="F10" i="6"/>
  <c r="F11" i="6"/>
  <c r="F12" i="6"/>
  <c r="F13" i="6"/>
  <c r="F2" i="6"/>
  <c r="E3" i="6"/>
  <c r="E4" i="6"/>
  <c r="E5" i="6"/>
  <c r="E6" i="6"/>
  <c r="E7" i="6"/>
  <c r="E8" i="6"/>
  <c r="E9" i="6"/>
  <c r="E10" i="6"/>
  <c r="E11" i="6"/>
  <c r="E12" i="6"/>
  <c r="E13" i="6"/>
  <c r="E2" i="6"/>
  <c r="B3" i="6"/>
  <c r="B2" i="6"/>
  <c r="B4" i="6" l="1"/>
  <c r="B6" i="6" s="1"/>
  <c r="L6" i="3"/>
  <c r="H6" i="3"/>
  <c r="J3" i="2"/>
  <c r="J4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I2" i="2"/>
  <c r="F3" i="2"/>
  <c r="F4" i="2"/>
  <c r="F5" i="2"/>
  <c r="F6" i="2"/>
  <c r="F7" i="2"/>
  <c r="F8" i="2"/>
  <c r="F9" i="2"/>
  <c r="F10" i="2"/>
  <c r="F11" i="2"/>
  <c r="F12" i="2"/>
  <c r="F13" i="2"/>
  <c r="F2" i="2"/>
  <c r="E4" i="2"/>
  <c r="E5" i="2"/>
  <c r="E6" i="2"/>
  <c r="E7" i="2"/>
  <c r="E8" i="2"/>
  <c r="E9" i="2"/>
  <c r="E10" i="2"/>
  <c r="E11" i="2"/>
  <c r="E12" i="2"/>
  <c r="E13" i="2"/>
  <c r="E3" i="2"/>
  <c r="E2" i="2"/>
  <c r="B4" i="2"/>
  <c r="B6" i="2" s="1"/>
  <c r="J6" i="3" s="1"/>
  <c r="B3" i="2"/>
  <c r="D6" i="3" s="1"/>
  <c r="B2" i="2"/>
  <c r="B6" i="3" s="1"/>
  <c r="F6" i="3" l="1"/>
</calcChain>
</file>

<file path=xl/sharedStrings.xml><?xml version="1.0" encoding="utf-8"?>
<sst xmlns="http://schemas.openxmlformats.org/spreadsheetml/2006/main" count="1094" uniqueCount="79">
  <si>
    <t>style_id</t>
  </si>
  <si>
    <t>week</t>
  </si>
  <si>
    <t>price</t>
  </si>
  <si>
    <t>retail</t>
  </si>
  <si>
    <t>discount_pct</t>
  </si>
  <si>
    <t>units_sold</t>
  </si>
  <si>
    <t>revenue</t>
  </si>
  <si>
    <t>is_promo_week</t>
  </si>
  <si>
    <t>role</t>
  </si>
  <si>
    <t>baseline_units</t>
  </si>
  <si>
    <t>style_001</t>
  </si>
  <si>
    <t>promoted</t>
  </si>
  <si>
    <t>style_002</t>
  </si>
  <si>
    <t>adjacent</t>
  </si>
  <si>
    <t>style_003</t>
  </si>
  <si>
    <t>style_004</t>
  </si>
  <si>
    <t>style_005</t>
  </si>
  <si>
    <t>style_006</t>
  </si>
  <si>
    <t>unrelated</t>
  </si>
  <si>
    <t>style_007</t>
  </si>
  <si>
    <t>style_008</t>
  </si>
  <si>
    <t>style_009</t>
  </si>
  <si>
    <t>style_010</t>
  </si>
  <si>
    <t>style_011</t>
  </si>
  <si>
    <t>style_012</t>
  </si>
  <si>
    <t>style_013</t>
  </si>
  <si>
    <t>style_014</t>
  </si>
  <si>
    <t>style_015</t>
  </si>
  <si>
    <t>style_016</t>
  </si>
  <si>
    <t>style_017</t>
  </si>
  <si>
    <t>style_018</t>
  </si>
  <si>
    <t>style_019</t>
  </si>
  <si>
    <t>style_020</t>
  </si>
  <si>
    <t>promo_id</t>
  </si>
  <si>
    <t>promo_name</t>
  </si>
  <si>
    <t>promo_weeks</t>
  </si>
  <si>
    <t>retail_price</t>
  </si>
  <si>
    <t>promo_price</t>
  </si>
  <si>
    <t>actual_units</t>
  </si>
  <si>
    <t>gross_lift_units</t>
  </si>
  <si>
    <t>cannib_units</t>
  </si>
  <si>
    <t>net_lift_units</t>
  </si>
  <si>
    <t>cannib_rate_pct</t>
  </si>
  <si>
    <t>cannib_flag</t>
  </si>
  <si>
    <t>PROMO_001</t>
  </si>
  <si>
    <t>Spring Top Promo</t>
  </si>
  <si>
    <t>[4, 5]</t>
  </si>
  <si>
    <t>~</t>
  </si>
  <si>
    <t>Component</t>
  </si>
  <si>
    <t>Amounts</t>
  </si>
  <si>
    <t>A. Incremental margin</t>
  </si>
  <si>
    <t>B. Markdow Cost</t>
  </si>
  <si>
    <t>C. Cannib. Loss</t>
  </si>
  <si>
    <t>Net margin impact</t>
  </si>
  <si>
    <t>Metric</t>
  </si>
  <si>
    <t>Value</t>
  </si>
  <si>
    <t>Net margin</t>
  </si>
  <si>
    <t>ROI %</t>
  </si>
  <si>
    <t>Actual Units</t>
  </si>
  <si>
    <t>Baseline Units</t>
  </si>
  <si>
    <t>Gross Lift</t>
  </si>
  <si>
    <t>Cannib. Units</t>
  </si>
  <si>
    <t>Net Lift</t>
  </si>
  <si>
    <t>Net Margin</t>
  </si>
  <si>
    <t>Week</t>
  </si>
  <si>
    <t>A. Incremental Margin</t>
  </si>
  <si>
    <t>B. Markdown Cost</t>
  </si>
  <si>
    <t>Net Margin Impact</t>
  </si>
  <si>
    <t>Amount</t>
  </si>
  <si>
    <t>Cannibalization Units</t>
  </si>
  <si>
    <t>Gross Lift Units</t>
  </si>
  <si>
    <t>Net Lift Units</t>
  </si>
  <si>
    <t>PROMO_002</t>
  </si>
  <si>
    <t>Spring Top Promo â€” Revised Strategy</t>
  </si>
  <si>
    <t>[5, 6]</t>
  </si>
  <si>
    <t>net_margin</t>
  </si>
  <si>
    <t>roi_pct</t>
  </si>
  <si>
    <r>
      <t xml:space="preserve">PROMOTION ROI SCORECARD
</t>
    </r>
    <r>
      <rPr>
        <b/>
        <sz val="14"/>
        <color theme="2" tint="-9.9978637043366805E-2"/>
        <rFont val="Aptos Narrow"/>
        <family val="2"/>
        <scheme val="minor"/>
      </rPr>
      <t>Spring Top Promo | Classic Crew Tee | Weeks 4-5 | 25 % off</t>
    </r>
    <r>
      <rPr>
        <b/>
        <sz val="14"/>
        <color theme="0"/>
        <rFont val="Aptos Narrow"/>
        <family val="2"/>
        <scheme val="minor"/>
      </rPr>
      <t xml:space="preserve"> | </t>
    </r>
    <r>
      <rPr>
        <b/>
        <sz val="14"/>
        <color theme="0" tint="-0.14996795556505021"/>
        <rFont val="Aptos Narrow"/>
        <family val="2"/>
        <scheme val="minor"/>
      </rPr>
      <t>Retail Price: $28.00 | Promo Price: $21.00</t>
    </r>
  </si>
  <si>
    <r>
      <t xml:space="preserve">PROMOTION ROI SCORECARD
</t>
    </r>
    <r>
      <rPr>
        <b/>
        <sz val="14"/>
        <color theme="2" tint="-9.9978637043366805E-2"/>
        <rFont val="Aptos Narrow"/>
        <family val="2"/>
        <scheme val="minor"/>
      </rPr>
      <t>Spring Top Promo | Classic Crew Tee | Weeks 5-6 | 15 % off | Retail Price: $28.00 | Promo Price: $23.80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</si>
</sst>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4"/>
      <color theme="2" tint="-9.9978637043366805E-2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0" tint="-0.149967955565050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C0B4"/>
        <bgColor indexed="64"/>
      </patternFill>
    </fill>
    <fill>
      <patternFill patternType="solid">
        <fgColor rgb="FFFBEC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CB7"/>
      <color rgb="FFFEC0B4"/>
      <color rgb="FFFD9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Promoted Style - Actual vs.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Calcs1!$E$1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10-4BF0-8190-BF0F25B47C8E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10-4BF0-8190-BF0F25B47C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Calcs1!$E$2:$E$13</c:f>
              <c:numCache>
                <c:formatCode>General</c:formatCode>
                <c:ptCount val="12"/>
                <c:pt idx="0">
                  <c:v>29</c:v>
                </c:pt>
                <c:pt idx="1">
                  <c:v>29</c:v>
                </c:pt>
                <c:pt idx="2">
                  <c:v>25</c:v>
                </c:pt>
                <c:pt idx="3">
                  <c:v>44</c:v>
                </c:pt>
                <c:pt idx="4">
                  <c:v>45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18</c:v>
                </c:pt>
                <c:pt idx="9">
                  <c:v>18</c:v>
                </c:pt>
                <c:pt idx="10">
                  <c:v>15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0-4BF0-8190-BF0F25B47C8E}"/>
            </c:ext>
          </c:extLst>
        </c:ser>
        <c:ser>
          <c:idx val="2"/>
          <c:order val="1"/>
          <c:tx>
            <c:strRef>
              <c:f>Calcs1!$F$1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Lbls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63-44CC-8545-2728FE02D68E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63-44CC-8545-2728FE02D6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Calcs1!$F$2:$F$13</c:f>
              <c:numCache>
                <c:formatCode>General</c:formatCode>
                <c:ptCount val="12"/>
                <c:pt idx="0">
                  <c:v>29.14</c:v>
                </c:pt>
                <c:pt idx="1">
                  <c:v>27.81</c:v>
                </c:pt>
                <c:pt idx="2">
                  <c:v>26.49</c:v>
                </c:pt>
                <c:pt idx="3">
                  <c:v>25.16</c:v>
                </c:pt>
                <c:pt idx="4">
                  <c:v>23.83</c:v>
                </c:pt>
                <c:pt idx="5">
                  <c:v>22.5</c:v>
                </c:pt>
                <c:pt idx="6">
                  <c:v>21.17</c:v>
                </c:pt>
                <c:pt idx="7">
                  <c:v>19.84</c:v>
                </c:pt>
                <c:pt idx="8">
                  <c:v>18.510000000000002</c:v>
                </c:pt>
                <c:pt idx="9">
                  <c:v>17.18</c:v>
                </c:pt>
                <c:pt idx="10">
                  <c:v>15.85</c:v>
                </c:pt>
                <c:pt idx="11">
                  <c:v>14.52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0-4BF0-8190-BF0F25B47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015167"/>
        <c:axId val="1010031967"/>
      </c:lineChart>
      <c:catAx>
        <c:axId val="101001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31967"/>
        <c:crosses val="autoZero"/>
        <c:auto val="1"/>
        <c:lblAlgn val="ctr"/>
        <c:lblOffset val="100"/>
        <c:noMultiLvlLbl val="0"/>
      </c:catAx>
      <c:valAx>
        <c:axId val="101003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Adjacent Styles - Actual</a:t>
            </a:r>
            <a:r>
              <a:rPr lang="en-US" b="1" baseline="0"/>
              <a:t> vs. Baseline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Calcs1!$I$1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A5-432B-85CA-DE42E1FBD4F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A5-432B-85CA-DE42E1FBD4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Calcs1!$I$2:$I$13</c:f>
              <c:numCache>
                <c:formatCode>General</c:formatCode>
                <c:ptCount val="12"/>
                <c:pt idx="0">
                  <c:v>87</c:v>
                </c:pt>
                <c:pt idx="1">
                  <c:v>70</c:v>
                </c:pt>
                <c:pt idx="2">
                  <c:v>82</c:v>
                </c:pt>
                <c:pt idx="3">
                  <c:v>67</c:v>
                </c:pt>
                <c:pt idx="4">
                  <c:v>65</c:v>
                </c:pt>
                <c:pt idx="5">
                  <c:v>62</c:v>
                </c:pt>
                <c:pt idx="6">
                  <c:v>60</c:v>
                </c:pt>
                <c:pt idx="7">
                  <c:v>61</c:v>
                </c:pt>
                <c:pt idx="8">
                  <c:v>63</c:v>
                </c:pt>
                <c:pt idx="9">
                  <c:v>50</c:v>
                </c:pt>
                <c:pt idx="10">
                  <c:v>45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B-47F6-8846-BC624C4A697E}"/>
            </c:ext>
          </c:extLst>
        </c:ser>
        <c:ser>
          <c:idx val="2"/>
          <c:order val="1"/>
          <c:tx>
            <c:strRef>
              <c:f>Calcs1!$J$1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Lbls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A5-432B-85CA-DE42E1FBD4F3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5-432B-85CA-DE42E1FBD4F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Calcs1!$J$2:$J$13</c:f>
              <c:numCache>
                <c:formatCode>General</c:formatCode>
                <c:ptCount val="12"/>
                <c:pt idx="0">
                  <c:v>84.080000000000013</c:v>
                </c:pt>
                <c:pt idx="1">
                  <c:v>80.25</c:v>
                </c:pt>
                <c:pt idx="2">
                  <c:v>76.42</c:v>
                </c:pt>
                <c:pt idx="3">
                  <c:v>72.599999999999994</c:v>
                </c:pt>
                <c:pt idx="4">
                  <c:v>68.760000000000005</c:v>
                </c:pt>
                <c:pt idx="5">
                  <c:v>64.95</c:v>
                </c:pt>
                <c:pt idx="6">
                  <c:v>61.11</c:v>
                </c:pt>
                <c:pt idx="7">
                  <c:v>57.29</c:v>
                </c:pt>
                <c:pt idx="8">
                  <c:v>53.46</c:v>
                </c:pt>
                <c:pt idx="9">
                  <c:v>49.64</c:v>
                </c:pt>
                <c:pt idx="10">
                  <c:v>45.82</c:v>
                </c:pt>
                <c:pt idx="11">
                  <c:v>41.99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AB-47F6-8846-BC624C4A6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466240"/>
        <c:axId val="1093463360"/>
      </c:lineChart>
      <c:catAx>
        <c:axId val="109346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3360"/>
        <c:crosses val="autoZero"/>
        <c:auto val="1"/>
        <c:lblAlgn val="ctr"/>
        <c:lblOffset val="100"/>
        <c:noMultiLvlLbl val="0"/>
      </c:catAx>
      <c:valAx>
        <c:axId val="10934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Promoted Style - Actual vs.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Calcs2!$E$1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15-4F21-9443-B8A7E13DA86E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15-4F21-9443-B8A7E13DA8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Calcs2!$E$2:$E$13</c:f>
              <c:numCache>
                <c:formatCode>General</c:formatCode>
                <c:ptCount val="12"/>
                <c:pt idx="0">
                  <c:v>31</c:v>
                </c:pt>
                <c:pt idx="1">
                  <c:v>26</c:v>
                </c:pt>
                <c:pt idx="2">
                  <c:v>25</c:v>
                </c:pt>
                <c:pt idx="3">
                  <c:v>22</c:v>
                </c:pt>
                <c:pt idx="4">
                  <c:v>47</c:v>
                </c:pt>
                <c:pt idx="5">
                  <c:v>35</c:v>
                </c:pt>
                <c:pt idx="6">
                  <c:v>23</c:v>
                </c:pt>
                <c:pt idx="7">
                  <c:v>21</c:v>
                </c:pt>
                <c:pt idx="8">
                  <c:v>20</c:v>
                </c:pt>
                <c:pt idx="9">
                  <c:v>22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5-4F21-9443-B8A7E13DA86E}"/>
            </c:ext>
          </c:extLst>
        </c:ser>
        <c:ser>
          <c:idx val="2"/>
          <c:order val="1"/>
          <c:tx>
            <c:strRef>
              <c:f>Calcs2!$F$1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Lbls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0B-4F33-A27E-C1F0D9164E10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0B-4F33-A27E-C1F0D9164E1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Calcs2!$F$2:$F$13</c:f>
              <c:numCache>
                <c:formatCode>General</c:formatCode>
                <c:ptCount val="12"/>
                <c:pt idx="0">
                  <c:v>28.35</c:v>
                </c:pt>
                <c:pt idx="1">
                  <c:v>27.23</c:v>
                </c:pt>
                <c:pt idx="2">
                  <c:v>26.12</c:v>
                </c:pt>
                <c:pt idx="3">
                  <c:v>25.01</c:v>
                </c:pt>
                <c:pt idx="4">
                  <c:v>23.89</c:v>
                </c:pt>
                <c:pt idx="5">
                  <c:v>22.78</c:v>
                </c:pt>
                <c:pt idx="6">
                  <c:v>21.67</c:v>
                </c:pt>
                <c:pt idx="7">
                  <c:v>20.55</c:v>
                </c:pt>
                <c:pt idx="8">
                  <c:v>19.440000000000001</c:v>
                </c:pt>
                <c:pt idx="9">
                  <c:v>18.329999999999998</c:v>
                </c:pt>
                <c:pt idx="10">
                  <c:v>17.21</c:v>
                </c:pt>
                <c:pt idx="11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5-4F21-9443-B8A7E13D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015167"/>
        <c:axId val="1010031967"/>
      </c:lineChart>
      <c:catAx>
        <c:axId val="101001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31967"/>
        <c:crosses val="autoZero"/>
        <c:auto val="1"/>
        <c:lblAlgn val="ctr"/>
        <c:lblOffset val="100"/>
        <c:noMultiLvlLbl val="0"/>
      </c:catAx>
      <c:valAx>
        <c:axId val="101003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Adjacent Styles - Actual</a:t>
            </a:r>
            <a:r>
              <a:rPr lang="en-US" b="1" baseline="0"/>
              <a:t> vs. Baseline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Calcs2!$I$1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23-4C51-83AB-EE101214B22A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23-4C51-83AB-EE101214B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Calcs2!$I$2:$I$13</c:f>
              <c:numCache>
                <c:formatCode>General</c:formatCode>
                <c:ptCount val="12"/>
                <c:pt idx="0">
                  <c:v>90</c:v>
                </c:pt>
                <c:pt idx="1">
                  <c:v>77</c:v>
                </c:pt>
                <c:pt idx="2">
                  <c:v>83</c:v>
                </c:pt>
                <c:pt idx="3">
                  <c:v>70</c:v>
                </c:pt>
                <c:pt idx="4">
                  <c:v>64</c:v>
                </c:pt>
                <c:pt idx="5">
                  <c:v>64</c:v>
                </c:pt>
                <c:pt idx="6">
                  <c:v>62</c:v>
                </c:pt>
                <c:pt idx="7">
                  <c:v>65</c:v>
                </c:pt>
                <c:pt idx="8">
                  <c:v>62</c:v>
                </c:pt>
                <c:pt idx="9">
                  <c:v>54</c:v>
                </c:pt>
                <c:pt idx="10">
                  <c:v>61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8-463B-810E-258429F65E2B}"/>
            </c:ext>
          </c:extLst>
        </c:ser>
        <c:ser>
          <c:idx val="2"/>
          <c:order val="1"/>
          <c:tx>
            <c:strRef>
              <c:f>Calcs2!$J$1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Lbls>
            <c:dLbl>
              <c:idx val="4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23-4C51-83AB-EE101214B22A}"/>
                </c:ext>
              </c:extLst>
            </c:dLbl>
            <c:dLbl>
              <c:idx val="5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23-4C51-83AB-EE101214B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Calcs2!$J$2:$J$13</c:f>
              <c:numCache>
                <c:formatCode>General</c:formatCode>
                <c:ptCount val="12"/>
                <c:pt idx="0">
                  <c:v>85.75</c:v>
                </c:pt>
                <c:pt idx="1">
                  <c:v>82.33</c:v>
                </c:pt>
                <c:pt idx="2">
                  <c:v>78.930000000000007</c:v>
                </c:pt>
                <c:pt idx="3">
                  <c:v>75.52</c:v>
                </c:pt>
                <c:pt idx="4">
                  <c:v>72.099999999999994</c:v>
                </c:pt>
                <c:pt idx="5">
                  <c:v>68.69</c:v>
                </c:pt>
                <c:pt idx="6">
                  <c:v>65.28</c:v>
                </c:pt>
                <c:pt idx="7">
                  <c:v>61.87</c:v>
                </c:pt>
                <c:pt idx="8">
                  <c:v>58.449999999999996</c:v>
                </c:pt>
                <c:pt idx="9">
                  <c:v>55.04</c:v>
                </c:pt>
                <c:pt idx="10">
                  <c:v>51.63</c:v>
                </c:pt>
                <c:pt idx="11">
                  <c:v>48.209999999999994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68-463B-810E-258429F65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466240"/>
        <c:axId val="1093463360"/>
      </c:lineChart>
      <c:catAx>
        <c:axId val="109346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3360"/>
        <c:crosses val="autoZero"/>
        <c:auto val="1"/>
        <c:lblAlgn val="ctr"/>
        <c:lblOffset val="100"/>
        <c:noMultiLvlLbl val="0"/>
      </c:catAx>
      <c:valAx>
        <c:axId val="10934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Promoted Style - Actual vs.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Calcs1!$E$1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Calcs1!$E$2:$E$13</c:f>
              <c:numCache>
                <c:formatCode>General</c:formatCode>
                <c:ptCount val="12"/>
                <c:pt idx="0">
                  <c:v>29</c:v>
                </c:pt>
                <c:pt idx="1">
                  <c:v>29</c:v>
                </c:pt>
                <c:pt idx="2">
                  <c:v>25</c:v>
                </c:pt>
                <c:pt idx="3">
                  <c:v>44</c:v>
                </c:pt>
                <c:pt idx="4">
                  <c:v>45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18</c:v>
                </c:pt>
                <c:pt idx="9">
                  <c:v>18</c:v>
                </c:pt>
                <c:pt idx="10">
                  <c:v>15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7-4314-9C03-FB0D401C10CE}"/>
            </c:ext>
          </c:extLst>
        </c:ser>
        <c:ser>
          <c:idx val="2"/>
          <c:order val="1"/>
          <c:tx>
            <c:strRef>
              <c:f>Calcs1!$F$1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val>
            <c:numRef>
              <c:f>Calcs1!$F$2:$F$13</c:f>
              <c:numCache>
                <c:formatCode>General</c:formatCode>
                <c:ptCount val="12"/>
                <c:pt idx="0">
                  <c:v>29.14</c:v>
                </c:pt>
                <c:pt idx="1">
                  <c:v>27.81</c:v>
                </c:pt>
                <c:pt idx="2">
                  <c:v>26.49</c:v>
                </c:pt>
                <c:pt idx="3">
                  <c:v>25.16</c:v>
                </c:pt>
                <c:pt idx="4">
                  <c:v>23.83</c:v>
                </c:pt>
                <c:pt idx="5">
                  <c:v>22.5</c:v>
                </c:pt>
                <c:pt idx="6">
                  <c:v>21.17</c:v>
                </c:pt>
                <c:pt idx="7">
                  <c:v>19.84</c:v>
                </c:pt>
                <c:pt idx="8">
                  <c:v>18.510000000000002</c:v>
                </c:pt>
                <c:pt idx="9">
                  <c:v>17.18</c:v>
                </c:pt>
                <c:pt idx="10">
                  <c:v>15.85</c:v>
                </c:pt>
                <c:pt idx="11">
                  <c:v>14.52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7-4314-9C03-FB0D401C1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015167"/>
        <c:axId val="1010031967"/>
      </c:lineChart>
      <c:catAx>
        <c:axId val="101001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31967"/>
        <c:crosses val="autoZero"/>
        <c:auto val="1"/>
        <c:lblAlgn val="ctr"/>
        <c:lblOffset val="100"/>
        <c:noMultiLvlLbl val="0"/>
      </c:catAx>
      <c:valAx>
        <c:axId val="101003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Adjacent Styles - Actual</a:t>
            </a:r>
            <a:r>
              <a:rPr lang="en-US" baseline="0"/>
              <a:t> vs. Baseline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Calcs1!$I$1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Calcs1!$I$2:$I$13</c:f>
              <c:numCache>
                <c:formatCode>General</c:formatCode>
                <c:ptCount val="12"/>
                <c:pt idx="0">
                  <c:v>87</c:v>
                </c:pt>
                <c:pt idx="1">
                  <c:v>70</c:v>
                </c:pt>
                <c:pt idx="2">
                  <c:v>82</c:v>
                </c:pt>
                <c:pt idx="3">
                  <c:v>67</c:v>
                </c:pt>
                <c:pt idx="4">
                  <c:v>65</c:v>
                </c:pt>
                <c:pt idx="5">
                  <c:v>62</c:v>
                </c:pt>
                <c:pt idx="6">
                  <c:v>60</c:v>
                </c:pt>
                <c:pt idx="7">
                  <c:v>61</c:v>
                </c:pt>
                <c:pt idx="8">
                  <c:v>63</c:v>
                </c:pt>
                <c:pt idx="9">
                  <c:v>50</c:v>
                </c:pt>
                <c:pt idx="10">
                  <c:v>45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0-4EBD-98EE-AFCCA231B3F1}"/>
            </c:ext>
          </c:extLst>
        </c:ser>
        <c:ser>
          <c:idx val="2"/>
          <c:order val="1"/>
          <c:tx>
            <c:strRef>
              <c:f>Calcs1!$J$1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val>
            <c:numRef>
              <c:f>Calcs1!$J$2:$J$13</c:f>
              <c:numCache>
                <c:formatCode>General</c:formatCode>
                <c:ptCount val="12"/>
                <c:pt idx="0">
                  <c:v>84.080000000000013</c:v>
                </c:pt>
                <c:pt idx="1">
                  <c:v>80.25</c:v>
                </c:pt>
                <c:pt idx="2">
                  <c:v>76.42</c:v>
                </c:pt>
                <c:pt idx="3">
                  <c:v>72.599999999999994</c:v>
                </c:pt>
                <c:pt idx="4">
                  <c:v>68.760000000000005</c:v>
                </c:pt>
                <c:pt idx="5">
                  <c:v>64.95</c:v>
                </c:pt>
                <c:pt idx="6">
                  <c:v>61.11</c:v>
                </c:pt>
                <c:pt idx="7">
                  <c:v>57.29</c:v>
                </c:pt>
                <c:pt idx="8">
                  <c:v>53.46</c:v>
                </c:pt>
                <c:pt idx="9">
                  <c:v>49.64</c:v>
                </c:pt>
                <c:pt idx="10">
                  <c:v>45.82</c:v>
                </c:pt>
                <c:pt idx="11">
                  <c:v>41.99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50-4EBD-98EE-AFCCA231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466240"/>
        <c:axId val="1093463360"/>
      </c:lineChart>
      <c:catAx>
        <c:axId val="109346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3360"/>
        <c:crosses val="autoZero"/>
        <c:auto val="1"/>
        <c:lblAlgn val="ctr"/>
        <c:lblOffset val="100"/>
        <c:noMultiLvlLbl val="0"/>
      </c:catAx>
      <c:valAx>
        <c:axId val="10934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Promoted Style - Actual vs.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Calcs2!$E$1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Calcs2!$E$2:$E$13</c:f>
              <c:numCache>
                <c:formatCode>General</c:formatCode>
                <c:ptCount val="12"/>
                <c:pt idx="0">
                  <c:v>31</c:v>
                </c:pt>
                <c:pt idx="1">
                  <c:v>26</c:v>
                </c:pt>
                <c:pt idx="2">
                  <c:v>25</c:v>
                </c:pt>
                <c:pt idx="3">
                  <c:v>22</c:v>
                </c:pt>
                <c:pt idx="4">
                  <c:v>47</c:v>
                </c:pt>
                <c:pt idx="5">
                  <c:v>35</c:v>
                </c:pt>
                <c:pt idx="6">
                  <c:v>23</c:v>
                </c:pt>
                <c:pt idx="7">
                  <c:v>21</c:v>
                </c:pt>
                <c:pt idx="8">
                  <c:v>20</c:v>
                </c:pt>
                <c:pt idx="9">
                  <c:v>22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A-4160-922F-84A7836B85B3}"/>
            </c:ext>
          </c:extLst>
        </c:ser>
        <c:ser>
          <c:idx val="2"/>
          <c:order val="1"/>
          <c:tx>
            <c:strRef>
              <c:f>Calcs2!$F$1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val>
            <c:numRef>
              <c:f>Calcs2!$F$2:$F$13</c:f>
              <c:numCache>
                <c:formatCode>General</c:formatCode>
                <c:ptCount val="12"/>
                <c:pt idx="0">
                  <c:v>28.35</c:v>
                </c:pt>
                <c:pt idx="1">
                  <c:v>27.23</c:v>
                </c:pt>
                <c:pt idx="2">
                  <c:v>26.12</c:v>
                </c:pt>
                <c:pt idx="3">
                  <c:v>25.01</c:v>
                </c:pt>
                <c:pt idx="4">
                  <c:v>23.89</c:v>
                </c:pt>
                <c:pt idx="5">
                  <c:v>22.78</c:v>
                </c:pt>
                <c:pt idx="6">
                  <c:v>21.67</c:v>
                </c:pt>
                <c:pt idx="7">
                  <c:v>20.55</c:v>
                </c:pt>
                <c:pt idx="8">
                  <c:v>19.440000000000001</c:v>
                </c:pt>
                <c:pt idx="9">
                  <c:v>18.329999999999998</c:v>
                </c:pt>
                <c:pt idx="10">
                  <c:v>17.21</c:v>
                </c:pt>
                <c:pt idx="11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A-4160-922F-84A7836B8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015167"/>
        <c:axId val="1010031967"/>
      </c:lineChart>
      <c:catAx>
        <c:axId val="101001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31967"/>
        <c:crosses val="autoZero"/>
        <c:auto val="1"/>
        <c:lblAlgn val="ctr"/>
        <c:lblOffset val="100"/>
        <c:noMultiLvlLbl val="0"/>
      </c:catAx>
      <c:valAx>
        <c:axId val="101003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Adjacent Styles - Actual</a:t>
            </a:r>
            <a:r>
              <a:rPr lang="en-US" baseline="0"/>
              <a:t> vs. Baseline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Calcs2!$I$1</c:f>
              <c:strCache>
                <c:ptCount val="1"/>
                <c:pt idx="0">
                  <c:v>Actual Units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Calcs2!$I$2:$I$13</c:f>
              <c:numCache>
                <c:formatCode>General</c:formatCode>
                <c:ptCount val="12"/>
                <c:pt idx="0">
                  <c:v>90</c:v>
                </c:pt>
                <c:pt idx="1">
                  <c:v>77</c:v>
                </c:pt>
                <c:pt idx="2">
                  <c:v>83</c:v>
                </c:pt>
                <c:pt idx="3">
                  <c:v>70</c:v>
                </c:pt>
                <c:pt idx="4">
                  <c:v>64</c:v>
                </c:pt>
                <c:pt idx="5">
                  <c:v>64</c:v>
                </c:pt>
                <c:pt idx="6">
                  <c:v>62</c:v>
                </c:pt>
                <c:pt idx="7">
                  <c:v>65</c:v>
                </c:pt>
                <c:pt idx="8">
                  <c:v>62</c:v>
                </c:pt>
                <c:pt idx="9">
                  <c:v>54</c:v>
                </c:pt>
                <c:pt idx="10">
                  <c:v>61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0-4B1F-9098-AF1B4815CC1D}"/>
            </c:ext>
          </c:extLst>
        </c:ser>
        <c:ser>
          <c:idx val="2"/>
          <c:order val="1"/>
          <c:tx>
            <c:strRef>
              <c:f>Calcs2!$J$1</c:f>
              <c:strCache>
                <c:ptCount val="1"/>
                <c:pt idx="0">
                  <c:v>Baseline Units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val>
            <c:numRef>
              <c:f>Calcs2!$J$2:$J$13</c:f>
              <c:numCache>
                <c:formatCode>General</c:formatCode>
                <c:ptCount val="12"/>
                <c:pt idx="0">
                  <c:v>85.75</c:v>
                </c:pt>
                <c:pt idx="1">
                  <c:v>82.33</c:v>
                </c:pt>
                <c:pt idx="2">
                  <c:v>78.930000000000007</c:v>
                </c:pt>
                <c:pt idx="3">
                  <c:v>75.52</c:v>
                </c:pt>
                <c:pt idx="4">
                  <c:v>72.099999999999994</c:v>
                </c:pt>
                <c:pt idx="5">
                  <c:v>68.69</c:v>
                </c:pt>
                <c:pt idx="6">
                  <c:v>65.28</c:v>
                </c:pt>
                <c:pt idx="7">
                  <c:v>61.87</c:v>
                </c:pt>
                <c:pt idx="8">
                  <c:v>58.449999999999996</c:v>
                </c:pt>
                <c:pt idx="9">
                  <c:v>55.04</c:v>
                </c:pt>
                <c:pt idx="10">
                  <c:v>51.63</c:v>
                </c:pt>
                <c:pt idx="11">
                  <c:v>48.209999999999994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0-4B1F-9098-AF1B4815C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466240"/>
        <c:axId val="1093463360"/>
      </c:lineChart>
      <c:catAx>
        <c:axId val="109346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3360"/>
        <c:crosses val="autoZero"/>
        <c:auto val="1"/>
        <c:lblAlgn val="ctr"/>
        <c:lblOffset val="100"/>
        <c:noMultiLvlLbl val="0"/>
      </c:catAx>
      <c:valAx>
        <c:axId val="10934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Margin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Margin Waterfall</a:t>
          </a:r>
        </a:p>
      </cx:txPr>
    </cx:title>
    <cx:plotArea>
      <cx:plotAreaRegion>
        <cx:series layoutId="waterfall" uniqueId="{75EC4395-D314-4B2C-96C3-7EE6DC795FE2}">
          <cx:tx>
            <cx:txData>
              <cx:f>_xlchart.v1.1</cx:f>
              <cx:v>Amount</cx:v>
            </cx:txData>
          </cx:tx>
          <cx:dataPt idx="0">
            <cx:spPr>
              <a:solidFill>
                <a:srgbClr val="4EA72E">
                  <a:lumMod val="75000"/>
                </a:srgbClr>
              </a:solidFill>
            </cx:spPr>
          </cx:dataPt>
          <cx:dataPt idx="1">
            <cx:spPr>
              <a:solidFill>
                <a:srgbClr val="E97132"/>
              </a:solidFill>
            </cx:spPr>
          </cx:dataPt>
          <cx:dataPt idx="2">
            <cx:spPr>
              <a:solidFill>
                <a:srgbClr val="E97132"/>
              </a:solidFill>
            </cx:spPr>
          </cx:dataPt>
          <cx:dataPt idx="3">
            <cx:spPr>
              <a:solidFill>
                <a:srgbClr val="C00000"/>
              </a:solidFill>
            </cx:spPr>
          </cx:dataPt>
          <cx:dataLabels pos="outEnd">
            <cx:visibility seriesName="0" categoryName="0" value="1"/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-204.56</a:t>
                  </a:r>
                </a:p>
              </cx:txPr>
            </cx:dataLabel>
          </cx:dataLabels>
          <cx:dataId val="0"/>
          <cx:layoutPr>
            <cx:visibility connectorLines="0"/>
            <cx:subtotals>
              <cx:idx val="1"/>
              <cx:idx val="2"/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solidFill>
        <a:schemeClr val="accent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Margin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Margin Waterfall</a:t>
          </a:r>
        </a:p>
      </cx:txPr>
    </cx:title>
    <cx:plotArea>
      <cx:plotAreaRegion>
        <cx:series layoutId="waterfall" uniqueId="{75EC4395-D314-4B2C-96C3-7EE6DC795FE2}">
          <cx:tx>
            <cx:txData>
              <cx:f>_xlchart.v1.4</cx:f>
              <cx:v>Amount</cx:v>
            </cx:txData>
          </cx:tx>
          <cx:dataPt idx="0">
            <cx:spPr>
              <a:solidFill>
                <a:srgbClr val="4EA72E">
                  <a:lumMod val="75000"/>
                </a:srgbClr>
              </a:solidFill>
            </cx:spPr>
          </cx:dataPt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4EA72E">
                  <a:lumMod val="75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1"/>
              <cx:idx val="2"/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Margin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Margin Waterfall</a:t>
          </a:r>
        </a:p>
      </cx:txPr>
    </cx:title>
    <cx:plotArea>
      <cx:plotAreaRegion>
        <cx:series layoutId="waterfall" uniqueId="{75EC4395-D314-4B2C-96C3-7EE6DC795FE2}">
          <cx:tx>
            <cx:txData>
              <cx:f>_xlchart.v1.7</cx:f>
              <cx:v>Amount</cx:v>
            </cx:txData>
          </cx:tx>
          <cx:dataPt idx="0">
            <cx:spPr>
              <a:solidFill>
                <a:srgbClr val="4EA72E">
                  <a:lumMod val="75000"/>
                </a:srgbClr>
              </a:solidFill>
            </cx:spPr>
          </cx:dataPt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FF000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Margin Waterfall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Margin Waterfall</a:t>
          </a:r>
        </a:p>
      </cx:txPr>
    </cx:title>
    <cx:plotArea>
      <cx:plotAreaRegion>
        <cx:series layoutId="waterfall" uniqueId="{75EC4395-D314-4B2C-96C3-7EE6DC795FE2}">
          <cx:tx>
            <cx:txData>
              <cx:f>_xlchart.v1.10</cx:f>
              <cx:v>Amount</cx:v>
            </cx:txData>
          </cx:tx>
          <cx:dataPt idx="0">
            <cx:spPr>
              <a:solidFill>
                <a:srgbClr val="4EA72E">
                  <a:lumMod val="75000"/>
                </a:srgbClr>
              </a:solidFill>
            </cx:spPr>
          </cx:dataPt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4EA72E">
                  <a:lumMod val="75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1"/>
              <cx:idx val="2"/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171450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3CCB8-E542-4456-B5EE-E523AA50D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10</xdr:row>
      <xdr:rowOff>0</xdr:rowOff>
    </xdr:from>
    <xdr:to>
      <xdr:col>12</xdr:col>
      <xdr:colOff>0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BFDE1F-0BC8-4016-A20B-9C22B1A87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EF896E8-95C1-4D97-9A4F-A31F8855CC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5029200"/>
              <a:ext cx="8391525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39</xdr:row>
      <xdr:rowOff>85725</xdr:rowOff>
    </xdr:from>
    <xdr:to>
      <xdr:col>11</xdr:col>
      <xdr:colOff>1209675</xdr:colOff>
      <xdr:row>42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CD0088-DCB1-2966-D5FC-E51DBF039091}"/>
            </a:ext>
          </a:extLst>
        </xdr:cNvPr>
        <xdr:cNvSpPr txBox="1"/>
      </xdr:nvSpPr>
      <xdr:spPr>
        <a:xfrm>
          <a:off x="0" y="7591425"/>
          <a:ext cx="83534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C00000"/>
              </a:solidFill>
            </a:rPr>
            <a:t>VERDICT: MARGIN NEGATIVE</a:t>
          </a:r>
          <a:r>
            <a:rPr lang="en-US" sz="1100" b="1" baseline="0">
              <a:solidFill>
                <a:srgbClr val="C00000"/>
              </a:solidFill>
            </a:rPr>
            <a:t> - Despite a 109% unit lift, the promo cost $205 in margin. To break even, the discount would have needed to be reduced to around 15%, limit the promo to one week, or target styles with lower baseline sell-through.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85725</xdr:rowOff>
    </xdr:from>
    <xdr:to>
      <xdr:col>11</xdr:col>
      <xdr:colOff>1209675</xdr:colOff>
      <xdr:row>42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AB0DF7-CE5F-491A-BFCD-73239AD70EC1}"/>
            </a:ext>
          </a:extLst>
        </xdr:cNvPr>
        <xdr:cNvSpPr txBox="1"/>
      </xdr:nvSpPr>
      <xdr:spPr>
        <a:xfrm>
          <a:off x="104775" y="7781925"/>
          <a:ext cx="83534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VERDICT: MARGIN POSITIVE</a:t>
          </a:r>
          <a:r>
            <a:rPr lang="en-US" sz="1100" b="1" baseline="0">
              <a:solidFill>
                <a:schemeClr val="accent6">
                  <a:lumMod val="75000"/>
                </a:schemeClr>
              </a:solidFill>
            </a:rPr>
            <a:t> - The reviesed 15% discount strategy generated $115  in margin, a $320 improvement over the original strategy. Reducing the discount from 25% to 15% saved $147 in markdown cost and the lower cannibalization reduced adjacent styles losses by $184.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9</xdr:row>
      <xdr:rowOff>180975</xdr:rowOff>
    </xdr:from>
    <xdr:to>
      <xdr:col>6</xdr:col>
      <xdr:colOff>38100</xdr:colOff>
      <xdr:row>24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7D2825-F850-4D3E-A173-F72403F82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10</xdr:row>
      <xdr:rowOff>0</xdr:rowOff>
    </xdr:from>
    <xdr:to>
      <xdr:col>11</xdr:col>
      <xdr:colOff>1238250</xdr:colOff>
      <xdr:row>24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81D989-189B-44E7-9A2A-04404CF34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11</xdr:col>
      <xdr:colOff>1228725</xdr:colOff>
      <xdr:row>37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76D06ED-4EA4-45E6-8950-8EE7730604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5219700"/>
              <a:ext cx="8372475" cy="2257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15</xdr:row>
      <xdr:rowOff>14287</xdr:rowOff>
    </xdr:from>
    <xdr:to>
      <xdr:col>5</xdr:col>
      <xdr:colOff>885825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FE8FF-9DF9-9E98-7F5A-ECC550577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185737</xdr:colOff>
      <xdr:row>14</xdr:row>
      <xdr:rowOff>166687</xdr:rowOff>
    </xdr:from>
    <xdr:to>
      <xdr:col>11</xdr:col>
      <xdr:colOff>985837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E7423A-5276-499C-6F17-764EF4585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795336</xdr:colOff>
      <xdr:row>31</xdr:row>
      <xdr:rowOff>4762</xdr:rowOff>
    </xdr:from>
    <xdr:to>
      <xdr:col>9</xdr:col>
      <xdr:colOff>219074</xdr:colOff>
      <xdr:row>45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1AD4151-B2A0-E8D8-68BC-AF97990DC0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336" y="5910262"/>
              <a:ext cx="608171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15</xdr:row>
      <xdr:rowOff>14287</xdr:rowOff>
    </xdr:from>
    <xdr:to>
      <xdr:col>5</xdr:col>
      <xdr:colOff>885825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67A8F-F444-4388-894E-D32B525BC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185737</xdr:colOff>
      <xdr:row>14</xdr:row>
      <xdr:rowOff>166687</xdr:rowOff>
    </xdr:from>
    <xdr:to>
      <xdr:col>11</xdr:col>
      <xdr:colOff>985837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A9D135-104B-4DC5-BBEA-CDB49E6A5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795336</xdr:colOff>
      <xdr:row>31</xdr:row>
      <xdr:rowOff>4762</xdr:rowOff>
    </xdr:from>
    <xdr:to>
      <xdr:col>9</xdr:col>
      <xdr:colOff>219074</xdr:colOff>
      <xdr:row>45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E4324AC-0BBF-44DF-ADC8-8B5F501DD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336" y="5910262"/>
              <a:ext cx="608171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0BEFB-FD9D-4066-B851-9F1399CA275B}" name="Table1" displayName="Table1" ref="A1:J241" totalsRowShown="0">
  <autoFilter ref="A1:J241" xr:uid="{E230BEFB-FD9D-4066-B851-9F1399CA275B}"/>
  <tableColumns count="10">
    <tableColumn id="1" xr3:uid="{726D8695-3BF7-48B5-BBBC-BC393DC74965}" name="style_id"/>
    <tableColumn id="2" xr3:uid="{7C3AEC43-756F-4E7B-9882-EF2845C75140}" name="week"/>
    <tableColumn id="3" xr3:uid="{C43D5024-2AF9-45BF-98D2-BCC643C8E52F}" name="price"/>
    <tableColumn id="4" xr3:uid="{733D769E-2279-4272-A981-AB1BB303EF38}" name="retail"/>
    <tableColumn id="5" xr3:uid="{6CF642F9-3171-4087-A3FB-D1B559DC96EC}" name="discount_pct"/>
    <tableColumn id="6" xr3:uid="{EDDF23E8-7D9B-4FD2-9211-83A60011E3D2}" name="units_sold"/>
    <tableColumn id="7" xr3:uid="{CDF0C001-19AB-41C7-A4D8-B3B062401AC8}" name="revenue"/>
    <tableColumn id="8" xr3:uid="{0836B999-3F5C-4896-A78E-3A71C66FF202}" name="is_promo_week"/>
    <tableColumn id="9" xr3:uid="{6EA44B81-9200-49FB-BEB4-A76B8EF95B21}" name="role"/>
    <tableColumn id="10" xr3:uid="{5BEEA7D5-2AD9-41E3-8E76-39B37C38C643}" name="baseline_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03D89-80D5-4662-B4E5-CD1683BDCE5B}" name="Table2" displayName="Table2" ref="A1:J241" totalsRowShown="0">
  <autoFilter ref="A1:J241" xr:uid="{E230BEFB-FD9D-4066-B851-9F1399CA275B}"/>
  <tableColumns count="10">
    <tableColumn id="1" xr3:uid="{959A2A39-BCC9-42F2-8058-5F32704B48DE}" name="style_id"/>
    <tableColumn id="2" xr3:uid="{5D60B2DA-1249-4023-B439-1377B5BBE795}" name="week"/>
    <tableColumn id="3" xr3:uid="{A241DD44-D182-4804-91FB-104B66C85749}" name="price"/>
    <tableColumn id="4" xr3:uid="{BC5578E2-1915-4B6C-B2DA-2E1C39C03E79}" name="retail"/>
    <tableColumn id="5" xr3:uid="{B45CF874-51CC-4B92-930F-68AE5960D933}" name="discount_pct"/>
    <tableColumn id="6" xr3:uid="{8C74A925-3117-47E1-BA0D-A354B3396AA7}" name="units_sold"/>
    <tableColumn id="7" xr3:uid="{6B3AA1E4-BC30-471D-82C5-20457B5E3ADD}" name="revenue"/>
    <tableColumn id="8" xr3:uid="{73411D74-B9F2-4095-A1E1-569707460EB5}" name="is_promo_week"/>
    <tableColumn id="9" xr3:uid="{5A076901-6DC5-4BD3-972B-B9097C51F075}" name="role"/>
    <tableColumn id="10" xr3:uid="{744AA0D3-EE18-4BA0-9BD6-8DE4D453A91E}" name="baseline_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95F4-4660-46E2-82C6-69D10028BA61}">
  <sheetPr>
    <pageSetUpPr fitToPage="1"/>
  </sheetPr>
  <dimension ref="B1:L9"/>
  <sheetViews>
    <sheetView showGridLines="0" tabSelected="1" workbookViewId="0">
      <selection activeCell="B45" sqref="B45"/>
    </sheetView>
  </sheetViews>
  <sheetFormatPr defaultRowHeight="15" x14ac:dyDescent="0.25"/>
  <cols>
    <col min="1" max="1" width="1.5703125" customWidth="1"/>
    <col min="2" max="2" width="18.7109375" customWidth="1"/>
    <col min="3" max="3" width="2.7109375" customWidth="1"/>
    <col min="4" max="4" width="18.7109375" customWidth="1"/>
    <col min="5" max="5" width="2.7109375" customWidth="1"/>
    <col min="6" max="6" width="18.7109375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</cols>
  <sheetData>
    <row r="1" spans="2:12" ht="15" customHeight="1" x14ac:dyDescent="0.25">
      <c r="B1" s="8" t="s">
        <v>77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2:12" ht="15" customHeight="1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21" customHeight="1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2:12" ht="30" x14ac:dyDescent="0.25">
      <c r="B5" s="3" t="s">
        <v>58</v>
      </c>
      <c r="D5" s="4" t="s">
        <v>59</v>
      </c>
      <c r="F5" s="5" t="s">
        <v>70</v>
      </c>
      <c r="H5" s="7" t="s">
        <v>69</v>
      </c>
      <c r="J5" s="5" t="s">
        <v>71</v>
      </c>
      <c r="L5" s="6" t="s">
        <v>63</v>
      </c>
    </row>
    <row r="6" spans="2:12" x14ac:dyDescent="0.25">
      <c r="B6" s="19">
        <f>Calcs1!B2</f>
        <v>89</v>
      </c>
      <c r="D6" s="11">
        <f>Calcs1!B3</f>
        <v>48.989999999999995</v>
      </c>
      <c r="F6" s="13">
        <f>Calcs1!B4</f>
        <v>40.010000000000005</v>
      </c>
      <c r="H6" s="15">
        <f>Calcs1!B5</f>
        <v>11.7</v>
      </c>
      <c r="J6" s="13">
        <f>Calcs1!B6</f>
        <v>28.310000000000006</v>
      </c>
      <c r="L6" s="17">
        <f>Calcs1!B7</f>
        <v>-204.56</v>
      </c>
    </row>
    <row r="7" spans="2:12" x14ac:dyDescent="0.25">
      <c r="B7" s="19"/>
      <c r="D7" s="11"/>
      <c r="F7" s="13"/>
      <c r="H7" s="15"/>
      <c r="J7" s="13"/>
      <c r="L7" s="17"/>
    </row>
    <row r="8" spans="2:12" x14ac:dyDescent="0.25">
      <c r="B8" s="19"/>
      <c r="D8" s="11"/>
      <c r="F8" s="13"/>
      <c r="H8" s="15"/>
      <c r="J8" s="13"/>
      <c r="L8" s="17"/>
    </row>
    <row r="9" spans="2:12" x14ac:dyDescent="0.25">
      <c r="B9" s="20"/>
      <c r="D9" s="12"/>
      <c r="F9" s="14"/>
      <c r="H9" s="16"/>
      <c r="J9" s="14"/>
      <c r="L9" s="18"/>
    </row>
  </sheetData>
  <mergeCells count="7">
    <mergeCell ref="B1:L3"/>
    <mergeCell ref="B6:B9"/>
    <mergeCell ref="D6:D9"/>
    <mergeCell ref="F6:F9"/>
    <mergeCell ref="H6:H9"/>
    <mergeCell ref="J6:J9"/>
    <mergeCell ref="L6:L9"/>
  </mergeCells>
  <printOptions horizontalCentered="1"/>
  <pageMargins left="0.45" right="0.45" top="0.5" bottom="0.5" header="0.3" footer="0.3"/>
  <pageSetup scale="7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5712-2063-4758-B9D1-E52AD6087BFB}">
  <sheetPr>
    <pageSetUpPr fitToPage="1"/>
  </sheetPr>
  <dimension ref="B1:L9"/>
  <sheetViews>
    <sheetView showGridLines="0" workbookViewId="0">
      <selection activeCell="Q12" sqref="Q12"/>
    </sheetView>
  </sheetViews>
  <sheetFormatPr defaultRowHeight="15" x14ac:dyDescent="0.25"/>
  <cols>
    <col min="1" max="1" width="1.5703125" customWidth="1"/>
    <col min="2" max="2" width="18.7109375" customWidth="1"/>
    <col min="3" max="3" width="2.7109375" customWidth="1"/>
    <col min="4" max="4" width="18.7109375" customWidth="1"/>
    <col min="5" max="5" width="2.7109375" customWidth="1"/>
    <col min="6" max="6" width="18.7109375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</cols>
  <sheetData>
    <row r="1" spans="2:12" ht="15" customHeight="1" x14ac:dyDescent="0.25">
      <c r="B1" s="8" t="s">
        <v>78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2:12" ht="15" customHeight="1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21" customHeight="1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2:12" ht="30" x14ac:dyDescent="0.25">
      <c r="B5" s="3" t="s">
        <v>58</v>
      </c>
      <c r="D5" s="4" t="s">
        <v>59</v>
      </c>
      <c r="F5" s="5" t="s">
        <v>70</v>
      </c>
      <c r="H5" s="7" t="s">
        <v>69</v>
      </c>
      <c r="J5" s="5" t="s">
        <v>71</v>
      </c>
      <c r="L5" s="5" t="s">
        <v>63</v>
      </c>
    </row>
    <row r="6" spans="2:12" x14ac:dyDescent="0.25">
      <c r="B6" s="9">
        <f>Calcs2!B2</f>
        <v>82</v>
      </c>
      <c r="D6" s="11">
        <f>Calcs2!B3</f>
        <v>46.67</v>
      </c>
      <c r="F6" s="13">
        <f>Calcs2!B4</f>
        <v>35.33</v>
      </c>
      <c r="H6" s="15">
        <f>Calcs2!B5</f>
        <v>1.8</v>
      </c>
      <c r="J6" s="13">
        <f>Calcs2!B6</f>
        <v>33.53</v>
      </c>
      <c r="L6" s="21">
        <f>Calcs2!B7</f>
        <v>115.46</v>
      </c>
    </row>
    <row r="7" spans="2:12" x14ac:dyDescent="0.25">
      <c r="B7" s="9"/>
      <c r="D7" s="11"/>
      <c r="F7" s="13"/>
      <c r="H7" s="15"/>
      <c r="J7" s="13"/>
      <c r="L7" s="21"/>
    </row>
    <row r="8" spans="2:12" x14ac:dyDescent="0.25">
      <c r="B8" s="9"/>
      <c r="D8" s="11"/>
      <c r="F8" s="13"/>
      <c r="H8" s="15"/>
      <c r="J8" s="13"/>
      <c r="L8" s="21"/>
    </row>
    <row r="9" spans="2:12" x14ac:dyDescent="0.25">
      <c r="B9" s="10"/>
      <c r="D9" s="12"/>
      <c r="F9" s="14"/>
      <c r="H9" s="16"/>
      <c r="J9" s="14"/>
      <c r="L9" s="22"/>
    </row>
  </sheetData>
  <mergeCells count="7">
    <mergeCell ref="B1:L3"/>
    <mergeCell ref="B6:B9"/>
    <mergeCell ref="D6:D9"/>
    <mergeCell ref="F6:F9"/>
    <mergeCell ref="H6:H9"/>
    <mergeCell ref="J6:J9"/>
    <mergeCell ref="L6:L9"/>
  </mergeCells>
  <printOptions horizontalCentered="1"/>
  <pageMargins left="0.45" right="0.45" top="0.5" bottom="0.5" header="0.3" footer="0.3"/>
  <pageSetup scale="7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37B0-870E-4674-9002-C47ACED1B5F7}">
  <dimension ref="A1:P241"/>
  <sheetViews>
    <sheetView topLeftCell="G1" workbookViewId="0">
      <selection activeCell="N37" sqref="N37"/>
    </sheetView>
  </sheetViews>
  <sheetFormatPr defaultRowHeight="15" x14ac:dyDescent="0.25"/>
  <cols>
    <col min="1" max="1" width="10.140625" customWidth="1"/>
    <col min="5" max="5" width="14.7109375" customWidth="1"/>
    <col min="6" max="6" width="12.42578125" customWidth="1"/>
    <col min="7" max="7" width="10.5703125" customWidth="1"/>
    <col min="8" max="8" width="17" customWidth="1"/>
    <col min="9" max="9" width="9.5703125" bestFit="1" customWidth="1"/>
    <col min="10" max="10" width="16.28515625" customWidth="1"/>
    <col min="12" max="12" width="15.140625" bestFit="1" customWidth="1"/>
    <col min="13" max="13" width="16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33</v>
      </c>
      <c r="M1" t="s">
        <v>44</v>
      </c>
      <c r="O1" t="s">
        <v>48</v>
      </c>
      <c r="P1" t="s">
        <v>49</v>
      </c>
    </row>
    <row r="2" spans="1:16" x14ac:dyDescent="0.25">
      <c r="A2" t="s">
        <v>10</v>
      </c>
      <c r="B2">
        <v>1</v>
      </c>
      <c r="C2">
        <v>28</v>
      </c>
      <c r="D2">
        <v>28</v>
      </c>
      <c r="E2">
        <v>0</v>
      </c>
      <c r="F2">
        <v>29</v>
      </c>
      <c r="G2">
        <v>812</v>
      </c>
      <c r="H2" t="b">
        <v>0</v>
      </c>
      <c r="I2" t="s">
        <v>11</v>
      </c>
      <c r="J2">
        <v>29.14</v>
      </c>
      <c r="L2" t="s">
        <v>34</v>
      </c>
      <c r="M2" t="s">
        <v>45</v>
      </c>
      <c r="O2" t="s">
        <v>50</v>
      </c>
      <c r="P2">
        <v>355</v>
      </c>
    </row>
    <row r="3" spans="1:16" x14ac:dyDescent="0.25">
      <c r="A3" t="s">
        <v>10</v>
      </c>
      <c r="B3">
        <v>2</v>
      </c>
      <c r="C3">
        <v>28</v>
      </c>
      <c r="D3">
        <v>28</v>
      </c>
      <c r="E3">
        <v>0</v>
      </c>
      <c r="F3">
        <v>29</v>
      </c>
      <c r="G3">
        <v>812</v>
      </c>
      <c r="H3" t="b">
        <v>0</v>
      </c>
      <c r="I3" t="s">
        <v>11</v>
      </c>
      <c r="J3">
        <v>27.81</v>
      </c>
      <c r="L3" t="s">
        <v>0</v>
      </c>
      <c r="M3" t="s">
        <v>10</v>
      </c>
      <c r="O3" t="s">
        <v>51</v>
      </c>
      <c r="P3">
        <v>-343</v>
      </c>
    </row>
    <row r="4" spans="1:16" x14ac:dyDescent="0.25">
      <c r="A4" t="s">
        <v>10</v>
      </c>
      <c r="B4">
        <v>3</v>
      </c>
      <c r="C4">
        <v>28</v>
      </c>
      <c r="D4">
        <v>28</v>
      </c>
      <c r="E4">
        <v>0</v>
      </c>
      <c r="F4">
        <v>25</v>
      </c>
      <c r="G4">
        <v>700</v>
      </c>
      <c r="H4" t="b">
        <v>0</v>
      </c>
      <c r="I4" t="s">
        <v>11</v>
      </c>
      <c r="J4">
        <v>26.49</v>
      </c>
      <c r="L4" t="s">
        <v>35</v>
      </c>
      <c r="M4" t="s">
        <v>46</v>
      </c>
      <c r="O4" t="s">
        <v>52</v>
      </c>
      <c r="P4">
        <v>-216.56</v>
      </c>
    </row>
    <row r="5" spans="1:16" x14ac:dyDescent="0.25">
      <c r="A5" t="s">
        <v>10</v>
      </c>
      <c r="B5">
        <v>4</v>
      </c>
      <c r="C5">
        <v>21</v>
      </c>
      <c r="D5">
        <v>28</v>
      </c>
      <c r="E5">
        <v>0.25</v>
      </c>
      <c r="F5">
        <v>44</v>
      </c>
      <c r="G5">
        <v>924</v>
      </c>
      <c r="H5" t="b">
        <v>1</v>
      </c>
      <c r="I5" t="s">
        <v>11</v>
      </c>
      <c r="J5">
        <v>25.16</v>
      </c>
      <c r="L5" t="s">
        <v>4</v>
      </c>
      <c r="M5">
        <v>0.25</v>
      </c>
      <c r="O5" t="s">
        <v>53</v>
      </c>
      <c r="P5">
        <v>-204.56</v>
      </c>
    </row>
    <row r="6" spans="1:16" x14ac:dyDescent="0.25">
      <c r="A6" t="s">
        <v>10</v>
      </c>
      <c r="B6">
        <v>5</v>
      </c>
      <c r="C6">
        <v>21</v>
      </c>
      <c r="D6">
        <v>28</v>
      </c>
      <c r="E6">
        <v>0.25</v>
      </c>
      <c r="F6">
        <v>45</v>
      </c>
      <c r="G6">
        <v>945</v>
      </c>
      <c r="H6" t="b">
        <v>1</v>
      </c>
      <c r="I6" t="s">
        <v>11</v>
      </c>
      <c r="J6">
        <v>23.83</v>
      </c>
      <c r="L6" t="s">
        <v>36</v>
      </c>
      <c r="M6">
        <v>28</v>
      </c>
    </row>
    <row r="7" spans="1:16" x14ac:dyDescent="0.25">
      <c r="A7" t="s">
        <v>10</v>
      </c>
      <c r="B7">
        <v>6</v>
      </c>
      <c r="C7">
        <v>28</v>
      </c>
      <c r="D7">
        <v>28</v>
      </c>
      <c r="E7">
        <v>0</v>
      </c>
      <c r="F7">
        <v>21</v>
      </c>
      <c r="G7">
        <v>588</v>
      </c>
      <c r="H7" t="b">
        <v>0</v>
      </c>
      <c r="I7" t="s">
        <v>11</v>
      </c>
      <c r="J7">
        <v>22.5</v>
      </c>
      <c r="L7" t="s">
        <v>37</v>
      </c>
      <c r="M7">
        <v>21</v>
      </c>
      <c r="O7" t="s">
        <v>54</v>
      </c>
      <c r="P7" t="s">
        <v>55</v>
      </c>
    </row>
    <row r="8" spans="1:16" x14ac:dyDescent="0.25">
      <c r="A8" t="s">
        <v>10</v>
      </c>
      <c r="B8">
        <v>7</v>
      </c>
      <c r="C8">
        <v>28</v>
      </c>
      <c r="D8">
        <v>28</v>
      </c>
      <c r="E8">
        <v>0</v>
      </c>
      <c r="F8">
        <v>22</v>
      </c>
      <c r="G8">
        <v>616</v>
      </c>
      <c r="H8" t="b">
        <v>0</v>
      </c>
      <c r="I8" t="s">
        <v>11</v>
      </c>
      <c r="J8">
        <v>21.17</v>
      </c>
      <c r="L8" t="s">
        <v>38</v>
      </c>
      <c r="M8">
        <v>89</v>
      </c>
      <c r="O8" t="s">
        <v>56</v>
      </c>
      <c r="P8">
        <v>-204.56</v>
      </c>
    </row>
    <row r="9" spans="1:16" x14ac:dyDescent="0.25">
      <c r="A9" t="s">
        <v>10</v>
      </c>
      <c r="B9">
        <v>8</v>
      </c>
      <c r="C9">
        <v>28</v>
      </c>
      <c r="D9">
        <v>28</v>
      </c>
      <c r="E9">
        <v>0</v>
      </c>
      <c r="F9">
        <v>22</v>
      </c>
      <c r="G9">
        <v>616</v>
      </c>
      <c r="H9" t="b">
        <v>0</v>
      </c>
      <c r="I9" t="s">
        <v>11</v>
      </c>
      <c r="J9">
        <v>19.84</v>
      </c>
      <c r="L9" t="s">
        <v>9</v>
      </c>
      <c r="M9">
        <v>49</v>
      </c>
      <c r="O9" t="s">
        <v>57</v>
      </c>
      <c r="P9" s="1">
        <v>-0.59599999999999997</v>
      </c>
    </row>
    <row r="10" spans="1:16" x14ac:dyDescent="0.25">
      <c r="A10" t="s">
        <v>10</v>
      </c>
      <c r="B10">
        <v>9</v>
      </c>
      <c r="C10">
        <v>28</v>
      </c>
      <c r="D10">
        <v>28</v>
      </c>
      <c r="E10">
        <v>0</v>
      </c>
      <c r="F10">
        <v>18</v>
      </c>
      <c r="G10">
        <v>504</v>
      </c>
      <c r="H10" t="b">
        <v>0</v>
      </c>
      <c r="I10" t="s">
        <v>11</v>
      </c>
      <c r="J10">
        <v>18.510000000000002</v>
      </c>
      <c r="L10" t="s">
        <v>39</v>
      </c>
      <c r="M10">
        <v>40</v>
      </c>
    </row>
    <row r="11" spans="1:16" x14ac:dyDescent="0.25">
      <c r="A11" t="s">
        <v>10</v>
      </c>
      <c r="B11">
        <v>10</v>
      </c>
      <c r="C11">
        <v>28</v>
      </c>
      <c r="D11">
        <v>28</v>
      </c>
      <c r="E11">
        <v>0</v>
      </c>
      <c r="F11">
        <v>18</v>
      </c>
      <c r="G11">
        <v>504</v>
      </c>
      <c r="H11" t="b">
        <v>0</v>
      </c>
      <c r="I11" t="s">
        <v>11</v>
      </c>
      <c r="J11">
        <v>17.18</v>
      </c>
      <c r="L11" t="s">
        <v>40</v>
      </c>
      <c r="M11">
        <v>11.7</v>
      </c>
    </row>
    <row r="12" spans="1:16" x14ac:dyDescent="0.25">
      <c r="A12" t="s">
        <v>10</v>
      </c>
      <c r="B12">
        <v>11</v>
      </c>
      <c r="C12">
        <v>28</v>
      </c>
      <c r="D12">
        <v>28</v>
      </c>
      <c r="E12">
        <v>0</v>
      </c>
      <c r="F12">
        <v>15</v>
      </c>
      <c r="G12">
        <v>420</v>
      </c>
      <c r="H12" t="b">
        <v>0</v>
      </c>
      <c r="I12" t="s">
        <v>11</v>
      </c>
      <c r="J12">
        <v>15.85</v>
      </c>
      <c r="L12" t="s">
        <v>41</v>
      </c>
      <c r="M12">
        <v>28.4</v>
      </c>
    </row>
    <row r="13" spans="1:16" x14ac:dyDescent="0.25">
      <c r="A13" t="s">
        <v>10</v>
      </c>
      <c r="B13">
        <v>12</v>
      </c>
      <c r="C13">
        <v>28</v>
      </c>
      <c r="D13">
        <v>28</v>
      </c>
      <c r="E13">
        <v>0</v>
      </c>
      <c r="F13">
        <v>14</v>
      </c>
      <c r="G13">
        <v>392</v>
      </c>
      <c r="H13" t="b">
        <v>0</v>
      </c>
      <c r="I13" t="s">
        <v>11</v>
      </c>
      <c r="J13">
        <v>14.52</v>
      </c>
      <c r="L13" t="s">
        <v>42</v>
      </c>
      <c r="M13">
        <v>29.1</v>
      </c>
    </row>
    <row r="14" spans="1:16" x14ac:dyDescent="0.25">
      <c r="A14" t="s">
        <v>12</v>
      </c>
      <c r="B14">
        <v>1</v>
      </c>
      <c r="C14">
        <v>31.18</v>
      </c>
      <c r="D14">
        <v>31.18</v>
      </c>
      <c r="E14">
        <v>0</v>
      </c>
      <c r="F14">
        <v>19</v>
      </c>
      <c r="G14">
        <v>592.41999999999996</v>
      </c>
      <c r="H14" t="b">
        <v>0</v>
      </c>
      <c r="I14" t="s">
        <v>13</v>
      </c>
      <c r="J14">
        <v>19.46</v>
      </c>
      <c r="L14" t="s">
        <v>43</v>
      </c>
      <c r="M14" t="s">
        <v>47</v>
      </c>
    </row>
    <row r="15" spans="1:16" x14ac:dyDescent="0.25">
      <c r="A15" t="s">
        <v>12</v>
      </c>
      <c r="B15">
        <v>2</v>
      </c>
      <c r="C15">
        <v>31.18</v>
      </c>
      <c r="D15">
        <v>31.18</v>
      </c>
      <c r="E15">
        <v>0</v>
      </c>
      <c r="F15">
        <v>16</v>
      </c>
      <c r="G15">
        <v>498.88</v>
      </c>
      <c r="H15" t="b">
        <v>0</v>
      </c>
      <c r="I15" t="s">
        <v>13</v>
      </c>
      <c r="J15">
        <v>18.66</v>
      </c>
    </row>
    <row r="16" spans="1:16" x14ac:dyDescent="0.25">
      <c r="A16" t="s">
        <v>12</v>
      </c>
      <c r="B16">
        <v>3</v>
      </c>
      <c r="C16">
        <v>31.18</v>
      </c>
      <c r="D16">
        <v>31.18</v>
      </c>
      <c r="E16">
        <v>0</v>
      </c>
      <c r="F16">
        <v>20</v>
      </c>
      <c r="G16">
        <v>623.6</v>
      </c>
      <c r="H16" t="b">
        <v>0</v>
      </c>
      <c r="I16" t="s">
        <v>13</v>
      </c>
      <c r="J16">
        <v>17.850000000000001</v>
      </c>
    </row>
    <row r="17" spans="1:10" x14ac:dyDescent="0.25">
      <c r="A17" t="s">
        <v>12</v>
      </c>
      <c r="B17">
        <v>4</v>
      </c>
      <c r="C17">
        <v>31.18</v>
      </c>
      <c r="D17">
        <v>31.18</v>
      </c>
      <c r="E17">
        <v>0</v>
      </c>
      <c r="F17">
        <v>15</v>
      </c>
      <c r="G17">
        <v>467.7</v>
      </c>
      <c r="H17" t="b">
        <v>1</v>
      </c>
      <c r="I17" t="s">
        <v>13</v>
      </c>
      <c r="J17">
        <v>17.04</v>
      </c>
    </row>
    <row r="18" spans="1:10" x14ac:dyDescent="0.25">
      <c r="A18" t="s">
        <v>12</v>
      </c>
      <c r="B18">
        <v>5</v>
      </c>
      <c r="C18">
        <v>31.18</v>
      </c>
      <c r="D18">
        <v>31.18</v>
      </c>
      <c r="E18">
        <v>0</v>
      </c>
      <c r="F18">
        <v>13</v>
      </c>
      <c r="G18">
        <v>405.34</v>
      </c>
      <c r="H18" t="b">
        <v>1</v>
      </c>
      <c r="I18" t="s">
        <v>13</v>
      </c>
      <c r="J18">
        <v>16.23</v>
      </c>
    </row>
    <row r="19" spans="1:10" x14ac:dyDescent="0.25">
      <c r="A19" t="s">
        <v>12</v>
      </c>
      <c r="B19">
        <v>6</v>
      </c>
      <c r="C19">
        <v>31.18</v>
      </c>
      <c r="D19">
        <v>31.18</v>
      </c>
      <c r="E19">
        <v>0</v>
      </c>
      <c r="F19">
        <v>16</v>
      </c>
      <c r="G19">
        <v>498.88</v>
      </c>
      <c r="H19" t="b">
        <v>0</v>
      </c>
      <c r="I19" t="s">
        <v>13</v>
      </c>
      <c r="J19">
        <v>15.43</v>
      </c>
    </row>
    <row r="20" spans="1:10" x14ac:dyDescent="0.25">
      <c r="A20" t="s">
        <v>12</v>
      </c>
      <c r="B20">
        <v>7</v>
      </c>
      <c r="C20">
        <v>31.18</v>
      </c>
      <c r="D20">
        <v>31.18</v>
      </c>
      <c r="E20">
        <v>0</v>
      </c>
      <c r="F20">
        <v>14</v>
      </c>
      <c r="G20">
        <v>436.52</v>
      </c>
      <c r="H20" t="b">
        <v>0</v>
      </c>
      <c r="I20" t="s">
        <v>13</v>
      </c>
      <c r="J20">
        <v>14.62</v>
      </c>
    </row>
    <row r="21" spans="1:10" x14ac:dyDescent="0.25">
      <c r="A21" t="s">
        <v>12</v>
      </c>
      <c r="B21">
        <v>8</v>
      </c>
      <c r="C21">
        <v>31.18</v>
      </c>
      <c r="D21">
        <v>31.18</v>
      </c>
      <c r="E21">
        <v>0</v>
      </c>
      <c r="F21">
        <v>15</v>
      </c>
      <c r="G21">
        <v>467.7</v>
      </c>
      <c r="H21" t="b">
        <v>0</v>
      </c>
      <c r="I21" t="s">
        <v>13</v>
      </c>
      <c r="J21">
        <v>13.81</v>
      </c>
    </row>
    <row r="22" spans="1:10" x14ac:dyDescent="0.25">
      <c r="A22" t="s">
        <v>12</v>
      </c>
      <c r="B22">
        <v>9</v>
      </c>
      <c r="C22">
        <v>31.18</v>
      </c>
      <c r="D22">
        <v>31.18</v>
      </c>
      <c r="E22">
        <v>0</v>
      </c>
      <c r="F22">
        <v>16</v>
      </c>
      <c r="G22">
        <v>498.88</v>
      </c>
      <c r="H22" t="b">
        <v>0</v>
      </c>
      <c r="I22" t="s">
        <v>13</v>
      </c>
      <c r="J22">
        <v>13</v>
      </c>
    </row>
    <row r="23" spans="1:10" x14ac:dyDescent="0.25">
      <c r="A23" t="s">
        <v>12</v>
      </c>
      <c r="B23">
        <v>10</v>
      </c>
      <c r="C23">
        <v>31.18</v>
      </c>
      <c r="D23">
        <v>31.18</v>
      </c>
      <c r="E23">
        <v>0</v>
      </c>
      <c r="F23">
        <v>11</v>
      </c>
      <c r="G23">
        <v>342.98</v>
      </c>
      <c r="H23" t="b">
        <v>0</v>
      </c>
      <c r="I23" t="s">
        <v>13</v>
      </c>
      <c r="J23">
        <v>12.2</v>
      </c>
    </row>
    <row r="24" spans="1:10" x14ac:dyDescent="0.25">
      <c r="A24" t="s">
        <v>12</v>
      </c>
      <c r="B24">
        <v>11</v>
      </c>
      <c r="C24">
        <v>31.18</v>
      </c>
      <c r="D24">
        <v>31.18</v>
      </c>
      <c r="E24">
        <v>0</v>
      </c>
      <c r="F24">
        <v>12</v>
      </c>
      <c r="G24">
        <v>374.16</v>
      </c>
      <c r="H24" t="b">
        <v>0</v>
      </c>
      <c r="I24" t="s">
        <v>13</v>
      </c>
      <c r="J24">
        <v>11.39</v>
      </c>
    </row>
    <row r="25" spans="1:10" x14ac:dyDescent="0.25">
      <c r="A25" t="s">
        <v>12</v>
      </c>
      <c r="B25">
        <v>12</v>
      </c>
      <c r="C25">
        <v>31.18</v>
      </c>
      <c r="D25">
        <v>31.18</v>
      </c>
      <c r="E25">
        <v>0</v>
      </c>
      <c r="F25">
        <v>8</v>
      </c>
      <c r="G25">
        <v>249.44</v>
      </c>
      <c r="H25" t="b">
        <v>0</v>
      </c>
      <c r="I25" t="s">
        <v>13</v>
      </c>
      <c r="J25">
        <v>10.58</v>
      </c>
    </row>
    <row r="26" spans="1:10" x14ac:dyDescent="0.25">
      <c r="A26" t="s">
        <v>14</v>
      </c>
      <c r="B26">
        <v>1</v>
      </c>
      <c r="C26">
        <v>26.4</v>
      </c>
      <c r="D26">
        <v>26.4</v>
      </c>
      <c r="E26">
        <v>0</v>
      </c>
      <c r="F26">
        <v>27</v>
      </c>
      <c r="G26">
        <v>712.8</v>
      </c>
      <c r="H26" t="b">
        <v>0</v>
      </c>
      <c r="I26" t="s">
        <v>13</v>
      </c>
      <c r="J26">
        <v>23.8</v>
      </c>
    </row>
    <row r="27" spans="1:10" x14ac:dyDescent="0.25">
      <c r="A27" t="s">
        <v>14</v>
      </c>
      <c r="B27">
        <v>2</v>
      </c>
      <c r="C27">
        <v>26.4</v>
      </c>
      <c r="D27">
        <v>26.4</v>
      </c>
      <c r="E27">
        <v>0</v>
      </c>
      <c r="F27">
        <v>19</v>
      </c>
      <c r="G27">
        <v>501.6</v>
      </c>
      <c r="H27" t="b">
        <v>0</v>
      </c>
      <c r="I27" t="s">
        <v>13</v>
      </c>
      <c r="J27">
        <v>22.54</v>
      </c>
    </row>
    <row r="28" spans="1:10" x14ac:dyDescent="0.25">
      <c r="A28" t="s">
        <v>14</v>
      </c>
      <c r="B28">
        <v>3</v>
      </c>
      <c r="C28">
        <v>26.4</v>
      </c>
      <c r="D28">
        <v>26.4</v>
      </c>
      <c r="E28">
        <v>0</v>
      </c>
      <c r="F28">
        <v>22</v>
      </c>
      <c r="G28">
        <v>580.79999999999995</v>
      </c>
      <c r="H28" t="b">
        <v>0</v>
      </c>
      <c r="I28" t="s">
        <v>13</v>
      </c>
      <c r="J28">
        <v>21.29</v>
      </c>
    </row>
    <row r="29" spans="1:10" x14ac:dyDescent="0.25">
      <c r="A29" t="s">
        <v>14</v>
      </c>
      <c r="B29">
        <v>4</v>
      </c>
      <c r="C29">
        <v>26.4</v>
      </c>
      <c r="D29">
        <v>26.4</v>
      </c>
      <c r="E29">
        <v>0</v>
      </c>
      <c r="F29">
        <v>17</v>
      </c>
      <c r="G29">
        <v>448.8</v>
      </c>
      <c r="H29" t="b">
        <v>1</v>
      </c>
      <c r="I29" t="s">
        <v>13</v>
      </c>
      <c r="J29">
        <v>20.04</v>
      </c>
    </row>
    <row r="30" spans="1:10" x14ac:dyDescent="0.25">
      <c r="A30" t="s">
        <v>14</v>
      </c>
      <c r="B30">
        <v>5</v>
      </c>
      <c r="C30">
        <v>26.4</v>
      </c>
      <c r="D30">
        <v>26.4</v>
      </c>
      <c r="E30">
        <v>0</v>
      </c>
      <c r="F30">
        <v>19</v>
      </c>
      <c r="G30">
        <v>501.6</v>
      </c>
      <c r="H30" t="b">
        <v>1</v>
      </c>
      <c r="I30" t="s">
        <v>13</v>
      </c>
      <c r="J30">
        <v>18.78</v>
      </c>
    </row>
    <row r="31" spans="1:10" x14ac:dyDescent="0.25">
      <c r="A31" t="s">
        <v>14</v>
      </c>
      <c r="B31">
        <v>6</v>
      </c>
      <c r="C31">
        <v>26.4</v>
      </c>
      <c r="D31">
        <v>26.4</v>
      </c>
      <c r="E31">
        <v>0</v>
      </c>
      <c r="F31">
        <v>16</v>
      </c>
      <c r="G31">
        <v>422.4</v>
      </c>
      <c r="H31" t="b">
        <v>0</v>
      </c>
      <c r="I31" t="s">
        <v>13</v>
      </c>
      <c r="J31">
        <v>17.53</v>
      </c>
    </row>
    <row r="32" spans="1:10" x14ac:dyDescent="0.25">
      <c r="A32" t="s">
        <v>14</v>
      </c>
      <c r="B32">
        <v>7</v>
      </c>
      <c r="C32">
        <v>26.4</v>
      </c>
      <c r="D32">
        <v>26.4</v>
      </c>
      <c r="E32">
        <v>0</v>
      </c>
      <c r="F32">
        <v>16</v>
      </c>
      <c r="G32">
        <v>422.4</v>
      </c>
      <c r="H32" t="b">
        <v>0</v>
      </c>
      <c r="I32" t="s">
        <v>13</v>
      </c>
      <c r="J32">
        <v>16.27</v>
      </c>
    </row>
    <row r="33" spans="1:10" x14ac:dyDescent="0.25">
      <c r="A33" t="s">
        <v>14</v>
      </c>
      <c r="B33">
        <v>8</v>
      </c>
      <c r="C33">
        <v>26.4</v>
      </c>
      <c r="D33">
        <v>26.4</v>
      </c>
      <c r="E33">
        <v>0</v>
      </c>
      <c r="F33">
        <v>15</v>
      </c>
      <c r="G33">
        <v>396</v>
      </c>
      <c r="H33" t="b">
        <v>0</v>
      </c>
      <c r="I33" t="s">
        <v>13</v>
      </c>
      <c r="J33">
        <v>15.02</v>
      </c>
    </row>
    <row r="34" spans="1:10" x14ac:dyDescent="0.25">
      <c r="A34" t="s">
        <v>14</v>
      </c>
      <c r="B34">
        <v>9</v>
      </c>
      <c r="C34">
        <v>26.4</v>
      </c>
      <c r="D34">
        <v>26.4</v>
      </c>
      <c r="E34">
        <v>0</v>
      </c>
      <c r="F34">
        <v>15</v>
      </c>
      <c r="G34">
        <v>396</v>
      </c>
      <c r="H34" t="b">
        <v>0</v>
      </c>
      <c r="I34" t="s">
        <v>13</v>
      </c>
      <c r="J34">
        <v>13.77</v>
      </c>
    </row>
    <row r="35" spans="1:10" x14ac:dyDescent="0.25">
      <c r="A35" t="s">
        <v>14</v>
      </c>
      <c r="B35">
        <v>10</v>
      </c>
      <c r="C35">
        <v>26.4</v>
      </c>
      <c r="D35">
        <v>26.4</v>
      </c>
      <c r="E35">
        <v>0</v>
      </c>
      <c r="F35">
        <v>13</v>
      </c>
      <c r="G35">
        <v>343.2</v>
      </c>
      <c r="H35" t="b">
        <v>0</v>
      </c>
      <c r="I35" t="s">
        <v>13</v>
      </c>
      <c r="J35">
        <v>12.51</v>
      </c>
    </row>
    <row r="36" spans="1:10" x14ac:dyDescent="0.25">
      <c r="A36" t="s">
        <v>14</v>
      </c>
      <c r="B36">
        <v>11</v>
      </c>
      <c r="C36">
        <v>26.4</v>
      </c>
      <c r="D36">
        <v>26.4</v>
      </c>
      <c r="E36">
        <v>0</v>
      </c>
      <c r="F36">
        <v>11</v>
      </c>
      <c r="G36">
        <v>290.39999999999998</v>
      </c>
      <c r="H36" t="b">
        <v>0</v>
      </c>
      <c r="I36" t="s">
        <v>13</v>
      </c>
      <c r="J36">
        <v>11.26</v>
      </c>
    </row>
    <row r="37" spans="1:10" x14ac:dyDescent="0.25">
      <c r="A37" t="s">
        <v>14</v>
      </c>
      <c r="B37">
        <v>12</v>
      </c>
      <c r="C37">
        <v>26.4</v>
      </c>
      <c r="D37">
        <v>26.4</v>
      </c>
      <c r="E37">
        <v>0</v>
      </c>
      <c r="F37">
        <v>10</v>
      </c>
      <c r="G37">
        <v>264</v>
      </c>
      <c r="H37" t="b">
        <v>0</v>
      </c>
      <c r="I37" t="s">
        <v>13</v>
      </c>
      <c r="J37">
        <v>10.01</v>
      </c>
    </row>
    <row r="38" spans="1:10" x14ac:dyDescent="0.25">
      <c r="A38" t="s">
        <v>15</v>
      </c>
      <c r="B38">
        <v>1</v>
      </c>
      <c r="C38">
        <v>24.04</v>
      </c>
      <c r="D38">
        <v>24.04</v>
      </c>
      <c r="E38">
        <v>0</v>
      </c>
      <c r="F38">
        <v>20</v>
      </c>
      <c r="G38">
        <v>480.8</v>
      </c>
      <c r="H38" t="b">
        <v>0</v>
      </c>
      <c r="I38" t="s">
        <v>13</v>
      </c>
      <c r="J38">
        <v>19.149999999999999</v>
      </c>
    </row>
    <row r="39" spans="1:10" x14ac:dyDescent="0.25">
      <c r="A39" t="s">
        <v>15</v>
      </c>
      <c r="B39">
        <v>2</v>
      </c>
      <c r="C39">
        <v>24.04</v>
      </c>
      <c r="D39">
        <v>24.04</v>
      </c>
      <c r="E39">
        <v>0</v>
      </c>
      <c r="F39">
        <v>18</v>
      </c>
      <c r="G39">
        <v>432.72</v>
      </c>
      <c r="H39" t="b">
        <v>0</v>
      </c>
      <c r="I39" t="s">
        <v>13</v>
      </c>
      <c r="J39">
        <v>18.16</v>
      </c>
    </row>
    <row r="40" spans="1:10" x14ac:dyDescent="0.25">
      <c r="A40" t="s">
        <v>15</v>
      </c>
      <c r="B40">
        <v>3</v>
      </c>
      <c r="C40">
        <v>24.04</v>
      </c>
      <c r="D40">
        <v>24.04</v>
      </c>
      <c r="E40">
        <v>0</v>
      </c>
      <c r="F40">
        <v>17</v>
      </c>
      <c r="G40">
        <v>408.68</v>
      </c>
      <c r="H40" t="b">
        <v>0</v>
      </c>
      <c r="I40" t="s">
        <v>13</v>
      </c>
      <c r="J40">
        <v>17.16</v>
      </c>
    </row>
    <row r="41" spans="1:10" x14ac:dyDescent="0.25">
      <c r="A41" t="s">
        <v>15</v>
      </c>
      <c r="B41">
        <v>4</v>
      </c>
      <c r="C41">
        <v>24.04</v>
      </c>
      <c r="D41">
        <v>24.04</v>
      </c>
      <c r="E41">
        <v>0</v>
      </c>
      <c r="F41">
        <v>15</v>
      </c>
      <c r="G41">
        <v>360.6</v>
      </c>
      <c r="H41" t="b">
        <v>1</v>
      </c>
      <c r="I41" t="s">
        <v>13</v>
      </c>
      <c r="J41">
        <v>16.170000000000002</v>
      </c>
    </row>
    <row r="42" spans="1:10" x14ac:dyDescent="0.25">
      <c r="A42" t="s">
        <v>15</v>
      </c>
      <c r="B42">
        <v>5</v>
      </c>
      <c r="C42">
        <v>24.04</v>
      </c>
      <c r="D42">
        <v>24.04</v>
      </c>
      <c r="E42">
        <v>0</v>
      </c>
      <c r="F42">
        <v>13</v>
      </c>
      <c r="G42">
        <v>312.52</v>
      </c>
      <c r="H42" t="b">
        <v>1</v>
      </c>
      <c r="I42" t="s">
        <v>13</v>
      </c>
      <c r="J42">
        <v>15.18</v>
      </c>
    </row>
    <row r="43" spans="1:10" x14ac:dyDescent="0.25">
      <c r="A43" t="s">
        <v>15</v>
      </c>
      <c r="B43">
        <v>6</v>
      </c>
      <c r="C43">
        <v>24.04</v>
      </c>
      <c r="D43">
        <v>24.04</v>
      </c>
      <c r="E43">
        <v>0</v>
      </c>
      <c r="F43">
        <v>13</v>
      </c>
      <c r="G43">
        <v>312.52</v>
      </c>
      <c r="H43" t="b">
        <v>0</v>
      </c>
      <c r="I43" t="s">
        <v>13</v>
      </c>
      <c r="J43">
        <v>14.19</v>
      </c>
    </row>
    <row r="44" spans="1:10" x14ac:dyDescent="0.25">
      <c r="A44" t="s">
        <v>15</v>
      </c>
      <c r="B44">
        <v>7</v>
      </c>
      <c r="C44">
        <v>24.04</v>
      </c>
      <c r="D44">
        <v>24.04</v>
      </c>
      <c r="E44">
        <v>0</v>
      </c>
      <c r="F44">
        <v>12</v>
      </c>
      <c r="G44">
        <v>288.48</v>
      </c>
      <c r="H44" t="b">
        <v>0</v>
      </c>
      <c r="I44" t="s">
        <v>13</v>
      </c>
      <c r="J44">
        <v>13.2</v>
      </c>
    </row>
    <row r="45" spans="1:10" x14ac:dyDescent="0.25">
      <c r="A45" t="s">
        <v>15</v>
      </c>
      <c r="B45">
        <v>8</v>
      </c>
      <c r="C45">
        <v>24.04</v>
      </c>
      <c r="D45">
        <v>24.04</v>
      </c>
      <c r="E45">
        <v>0</v>
      </c>
      <c r="F45">
        <v>12</v>
      </c>
      <c r="G45">
        <v>288.48</v>
      </c>
      <c r="H45" t="b">
        <v>0</v>
      </c>
      <c r="I45" t="s">
        <v>13</v>
      </c>
      <c r="J45">
        <v>12.21</v>
      </c>
    </row>
    <row r="46" spans="1:10" x14ac:dyDescent="0.25">
      <c r="A46" t="s">
        <v>15</v>
      </c>
      <c r="B46">
        <v>9</v>
      </c>
      <c r="C46">
        <v>24.04</v>
      </c>
      <c r="D46">
        <v>24.04</v>
      </c>
      <c r="E46">
        <v>0</v>
      </c>
      <c r="F46">
        <v>13</v>
      </c>
      <c r="G46">
        <v>312.52</v>
      </c>
      <c r="H46" t="b">
        <v>0</v>
      </c>
      <c r="I46" t="s">
        <v>13</v>
      </c>
      <c r="J46">
        <v>11.22</v>
      </c>
    </row>
    <row r="47" spans="1:10" x14ac:dyDescent="0.25">
      <c r="A47" t="s">
        <v>15</v>
      </c>
      <c r="B47">
        <v>10</v>
      </c>
      <c r="C47">
        <v>24.04</v>
      </c>
      <c r="D47">
        <v>24.04</v>
      </c>
      <c r="E47">
        <v>0</v>
      </c>
      <c r="F47">
        <v>12</v>
      </c>
      <c r="G47">
        <v>288.48</v>
      </c>
      <c r="H47" t="b">
        <v>0</v>
      </c>
      <c r="I47" t="s">
        <v>13</v>
      </c>
      <c r="J47">
        <v>10.23</v>
      </c>
    </row>
    <row r="48" spans="1:10" x14ac:dyDescent="0.25">
      <c r="A48" t="s">
        <v>15</v>
      </c>
      <c r="B48">
        <v>11</v>
      </c>
      <c r="C48">
        <v>24.04</v>
      </c>
      <c r="D48">
        <v>24.04</v>
      </c>
      <c r="E48">
        <v>0</v>
      </c>
      <c r="F48">
        <v>8</v>
      </c>
      <c r="G48">
        <v>192.32</v>
      </c>
      <c r="H48" t="b">
        <v>0</v>
      </c>
      <c r="I48" t="s">
        <v>13</v>
      </c>
      <c r="J48">
        <v>9.24</v>
      </c>
    </row>
    <row r="49" spans="1:10" x14ac:dyDescent="0.25">
      <c r="A49" t="s">
        <v>15</v>
      </c>
      <c r="B49">
        <v>12</v>
      </c>
      <c r="C49">
        <v>24.04</v>
      </c>
      <c r="D49">
        <v>24.04</v>
      </c>
      <c r="E49">
        <v>0</v>
      </c>
      <c r="F49">
        <v>8</v>
      </c>
      <c r="G49">
        <v>192.32</v>
      </c>
      <c r="H49" t="b">
        <v>0</v>
      </c>
      <c r="I49" t="s">
        <v>13</v>
      </c>
      <c r="J49">
        <v>8.25</v>
      </c>
    </row>
    <row r="50" spans="1:10" x14ac:dyDescent="0.25">
      <c r="A50" t="s">
        <v>16</v>
      </c>
      <c r="B50">
        <v>1</v>
      </c>
      <c r="C50">
        <v>27.74</v>
      </c>
      <c r="D50">
        <v>27.74</v>
      </c>
      <c r="E50">
        <v>0</v>
      </c>
      <c r="F50">
        <v>21</v>
      </c>
      <c r="G50">
        <v>582.54</v>
      </c>
      <c r="H50" t="b">
        <v>0</v>
      </c>
      <c r="I50" t="s">
        <v>13</v>
      </c>
      <c r="J50">
        <v>21.67</v>
      </c>
    </row>
    <row r="51" spans="1:10" x14ac:dyDescent="0.25">
      <c r="A51" t="s">
        <v>16</v>
      </c>
      <c r="B51">
        <v>2</v>
      </c>
      <c r="C51">
        <v>27.74</v>
      </c>
      <c r="D51">
        <v>27.74</v>
      </c>
      <c r="E51">
        <v>0</v>
      </c>
      <c r="F51">
        <v>17</v>
      </c>
      <c r="G51">
        <v>471.58</v>
      </c>
      <c r="H51" t="b">
        <v>0</v>
      </c>
      <c r="I51" t="s">
        <v>13</v>
      </c>
      <c r="J51">
        <v>20.89</v>
      </c>
    </row>
    <row r="52" spans="1:10" x14ac:dyDescent="0.25">
      <c r="A52" t="s">
        <v>16</v>
      </c>
      <c r="B52">
        <v>3</v>
      </c>
      <c r="C52">
        <v>27.74</v>
      </c>
      <c r="D52">
        <v>27.74</v>
      </c>
      <c r="E52">
        <v>0</v>
      </c>
      <c r="F52">
        <v>23</v>
      </c>
      <c r="G52">
        <v>638.02</v>
      </c>
      <c r="H52" t="b">
        <v>0</v>
      </c>
      <c r="I52" t="s">
        <v>13</v>
      </c>
      <c r="J52">
        <v>20.12</v>
      </c>
    </row>
    <row r="53" spans="1:10" x14ac:dyDescent="0.25">
      <c r="A53" t="s">
        <v>16</v>
      </c>
      <c r="B53">
        <v>4</v>
      </c>
      <c r="C53">
        <v>27.74</v>
      </c>
      <c r="D53">
        <v>27.74</v>
      </c>
      <c r="E53">
        <v>0</v>
      </c>
      <c r="F53">
        <v>20</v>
      </c>
      <c r="G53">
        <v>554.79999999999995</v>
      </c>
      <c r="H53" t="b">
        <v>1</v>
      </c>
      <c r="I53" t="s">
        <v>13</v>
      </c>
      <c r="J53">
        <v>19.350000000000001</v>
      </c>
    </row>
    <row r="54" spans="1:10" x14ac:dyDescent="0.25">
      <c r="A54" t="s">
        <v>16</v>
      </c>
      <c r="B54">
        <v>5</v>
      </c>
      <c r="C54">
        <v>27.74</v>
      </c>
      <c r="D54">
        <v>27.74</v>
      </c>
      <c r="E54">
        <v>0</v>
      </c>
      <c r="F54">
        <v>20</v>
      </c>
      <c r="G54">
        <v>554.79999999999995</v>
      </c>
      <c r="H54" t="b">
        <v>1</v>
      </c>
      <c r="I54" t="s">
        <v>13</v>
      </c>
      <c r="J54">
        <v>18.57</v>
      </c>
    </row>
    <row r="55" spans="1:10" x14ac:dyDescent="0.25">
      <c r="A55" t="s">
        <v>16</v>
      </c>
      <c r="B55">
        <v>6</v>
      </c>
      <c r="C55">
        <v>27.74</v>
      </c>
      <c r="D55">
        <v>27.74</v>
      </c>
      <c r="E55">
        <v>0</v>
      </c>
      <c r="F55">
        <v>17</v>
      </c>
      <c r="G55">
        <v>471.58</v>
      </c>
      <c r="H55" t="b">
        <v>0</v>
      </c>
      <c r="I55" t="s">
        <v>13</v>
      </c>
      <c r="J55">
        <v>17.8</v>
      </c>
    </row>
    <row r="56" spans="1:10" x14ac:dyDescent="0.25">
      <c r="A56" t="s">
        <v>16</v>
      </c>
      <c r="B56">
        <v>7</v>
      </c>
      <c r="C56">
        <v>27.74</v>
      </c>
      <c r="D56">
        <v>27.74</v>
      </c>
      <c r="E56">
        <v>0</v>
      </c>
      <c r="F56">
        <v>18</v>
      </c>
      <c r="G56">
        <v>499.32</v>
      </c>
      <c r="H56" t="b">
        <v>0</v>
      </c>
      <c r="I56" t="s">
        <v>13</v>
      </c>
      <c r="J56">
        <v>17.02</v>
      </c>
    </row>
    <row r="57" spans="1:10" x14ac:dyDescent="0.25">
      <c r="A57" t="s">
        <v>16</v>
      </c>
      <c r="B57">
        <v>8</v>
      </c>
      <c r="C57">
        <v>27.74</v>
      </c>
      <c r="D57">
        <v>27.74</v>
      </c>
      <c r="E57">
        <v>0</v>
      </c>
      <c r="F57">
        <v>19</v>
      </c>
      <c r="G57">
        <v>527.05999999999995</v>
      </c>
      <c r="H57" t="b">
        <v>0</v>
      </c>
      <c r="I57" t="s">
        <v>13</v>
      </c>
      <c r="J57">
        <v>16.25</v>
      </c>
    </row>
    <row r="58" spans="1:10" x14ac:dyDescent="0.25">
      <c r="A58" t="s">
        <v>16</v>
      </c>
      <c r="B58">
        <v>9</v>
      </c>
      <c r="C58">
        <v>27.74</v>
      </c>
      <c r="D58">
        <v>27.74</v>
      </c>
      <c r="E58">
        <v>0</v>
      </c>
      <c r="F58">
        <v>19</v>
      </c>
      <c r="G58">
        <v>527.05999999999995</v>
      </c>
      <c r="H58" t="b">
        <v>0</v>
      </c>
      <c r="I58" t="s">
        <v>13</v>
      </c>
      <c r="J58">
        <v>15.47</v>
      </c>
    </row>
    <row r="59" spans="1:10" x14ac:dyDescent="0.25">
      <c r="A59" t="s">
        <v>16</v>
      </c>
      <c r="B59">
        <v>10</v>
      </c>
      <c r="C59">
        <v>27.74</v>
      </c>
      <c r="D59">
        <v>27.74</v>
      </c>
      <c r="E59">
        <v>0</v>
      </c>
      <c r="F59">
        <v>14</v>
      </c>
      <c r="G59">
        <v>388.36</v>
      </c>
      <c r="H59" t="b">
        <v>0</v>
      </c>
      <c r="I59" t="s">
        <v>13</v>
      </c>
      <c r="J59">
        <v>14.7</v>
      </c>
    </row>
    <row r="60" spans="1:10" x14ac:dyDescent="0.25">
      <c r="A60" t="s">
        <v>16</v>
      </c>
      <c r="B60">
        <v>11</v>
      </c>
      <c r="C60">
        <v>27.74</v>
      </c>
      <c r="D60">
        <v>27.74</v>
      </c>
      <c r="E60">
        <v>0</v>
      </c>
      <c r="F60">
        <v>14</v>
      </c>
      <c r="G60">
        <v>388.36</v>
      </c>
      <c r="H60" t="b">
        <v>0</v>
      </c>
      <c r="I60" t="s">
        <v>13</v>
      </c>
      <c r="J60">
        <v>13.93</v>
      </c>
    </row>
    <row r="61" spans="1:10" x14ac:dyDescent="0.25">
      <c r="A61" t="s">
        <v>16</v>
      </c>
      <c r="B61">
        <v>12</v>
      </c>
      <c r="C61">
        <v>27.74</v>
      </c>
      <c r="D61">
        <v>27.74</v>
      </c>
      <c r="E61">
        <v>0</v>
      </c>
      <c r="F61">
        <v>9</v>
      </c>
      <c r="G61">
        <v>249.66</v>
      </c>
      <c r="H61" t="b">
        <v>0</v>
      </c>
      <c r="I61" t="s">
        <v>13</v>
      </c>
      <c r="J61">
        <v>13.15</v>
      </c>
    </row>
    <row r="62" spans="1:10" x14ac:dyDescent="0.25">
      <c r="A62" t="s">
        <v>17</v>
      </c>
      <c r="B62">
        <v>1</v>
      </c>
      <c r="C62">
        <v>39.49</v>
      </c>
      <c r="D62">
        <v>39.49</v>
      </c>
      <c r="E62">
        <v>0</v>
      </c>
      <c r="F62">
        <v>25</v>
      </c>
      <c r="G62">
        <v>987.25</v>
      </c>
      <c r="H62" t="b">
        <v>0</v>
      </c>
      <c r="I62" t="s">
        <v>18</v>
      </c>
      <c r="J62">
        <v>25</v>
      </c>
    </row>
    <row r="63" spans="1:10" x14ac:dyDescent="0.25">
      <c r="A63" t="s">
        <v>17</v>
      </c>
      <c r="B63">
        <v>2</v>
      </c>
      <c r="C63">
        <v>39.49</v>
      </c>
      <c r="D63">
        <v>39.49</v>
      </c>
      <c r="E63">
        <v>0</v>
      </c>
      <c r="F63">
        <v>22</v>
      </c>
      <c r="G63">
        <v>868.78</v>
      </c>
      <c r="H63" t="b">
        <v>0</v>
      </c>
      <c r="I63" t="s">
        <v>18</v>
      </c>
      <c r="J63">
        <v>22</v>
      </c>
    </row>
    <row r="64" spans="1:10" x14ac:dyDescent="0.25">
      <c r="A64" t="s">
        <v>17</v>
      </c>
      <c r="B64">
        <v>3</v>
      </c>
      <c r="C64">
        <v>39.49</v>
      </c>
      <c r="D64">
        <v>39.49</v>
      </c>
      <c r="E64">
        <v>0</v>
      </c>
      <c r="F64">
        <v>22</v>
      </c>
      <c r="G64">
        <v>868.78</v>
      </c>
      <c r="H64" t="b">
        <v>0</v>
      </c>
      <c r="I64" t="s">
        <v>18</v>
      </c>
      <c r="J64">
        <v>22</v>
      </c>
    </row>
    <row r="65" spans="1:10" x14ac:dyDescent="0.25">
      <c r="A65" t="s">
        <v>17</v>
      </c>
      <c r="B65">
        <v>4</v>
      </c>
      <c r="C65">
        <v>39.49</v>
      </c>
      <c r="D65">
        <v>39.49</v>
      </c>
      <c r="E65">
        <v>0</v>
      </c>
      <c r="F65">
        <v>18</v>
      </c>
      <c r="G65">
        <v>710.82</v>
      </c>
      <c r="H65" t="b">
        <v>1</v>
      </c>
      <c r="I65" t="s">
        <v>18</v>
      </c>
      <c r="J65">
        <v>18</v>
      </c>
    </row>
    <row r="66" spans="1:10" x14ac:dyDescent="0.25">
      <c r="A66" t="s">
        <v>17</v>
      </c>
      <c r="B66">
        <v>5</v>
      </c>
      <c r="C66">
        <v>39.49</v>
      </c>
      <c r="D66">
        <v>39.49</v>
      </c>
      <c r="E66">
        <v>0</v>
      </c>
      <c r="F66">
        <v>21</v>
      </c>
      <c r="G66">
        <v>829.29</v>
      </c>
      <c r="H66" t="b">
        <v>1</v>
      </c>
      <c r="I66" t="s">
        <v>18</v>
      </c>
      <c r="J66">
        <v>21</v>
      </c>
    </row>
    <row r="67" spans="1:10" x14ac:dyDescent="0.25">
      <c r="A67" t="s">
        <v>17</v>
      </c>
      <c r="B67">
        <v>6</v>
      </c>
      <c r="C67">
        <v>39.49</v>
      </c>
      <c r="D67">
        <v>39.49</v>
      </c>
      <c r="E67">
        <v>0</v>
      </c>
      <c r="F67">
        <v>17</v>
      </c>
      <c r="G67">
        <v>671.33</v>
      </c>
      <c r="H67" t="b">
        <v>0</v>
      </c>
      <c r="I67" t="s">
        <v>18</v>
      </c>
      <c r="J67">
        <v>17</v>
      </c>
    </row>
    <row r="68" spans="1:10" x14ac:dyDescent="0.25">
      <c r="A68" t="s">
        <v>17</v>
      </c>
      <c r="B68">
        <v>7</v>
      </c>
      <c r="C68">
        <v>39.49</v>
      </c>
      <c r="D68">
        <v>39.49</v>
      </c>
      <c r="E68">
        <v>0</v>
      </c>
      <c r="F68">
        <v>17</v>
      </c>
      <c r="G68">
        <v>671.33</v>
      </c>
      <c r="H68" t="b">
        <v>0</v>
      </c>
      <c r="I68" t="s">
        <v>18</v>
      </c>
      <c r="J68">
        <v>17</v>
      </c>
    </row>
    <row r="69" spans="1:10" x14ac:dyDescent="0.25">
      <c r="A69" t="s">
        <v>17</v>
      </c>
      <c r="B69">
        <v>8</v>
      </c>
      <c r="C69">
        <v>39.49</v>
      </c>
      <c r="D69">
        <v>39.49</v>
      </c>
      <c r="E69">
        <v>0</v>
      </c>
      <c r="F69">
        <v>20</v>
      </c>
      <c r="G69">
        <v>789.8</v>
      </c>
      <c r="H69" t="b">
        <v>0</v>
      </c>
      <c r="I69" t="s">
        <v>18</v>
      </c>
      <c r="J69">
        <v>20</v>
      </c>
    </row>
    <row r="70" spans="1:10" x14ac:dyDescent="0.25">
      <c r="A70" t="s">
        <v>17</v>
      </c>
      <c r="B70">
        <v>9</v>
      </c>
      <c r="C70">
        <v>39.49</v>
      </c>
      <c r="D70">
        <v>39.49</v>
      </c>
      <c r="E70">
        <v>0</v>
      </c>
      <c r="F70">
        <v>15</v>
      </c>
      <c r="G70">
        <v>592.35</v>
      </c>
      <c r="H70" t="b">
        <v>0</v>
      </c>
      <c r="I70" t="s">
        <v>18</v>
      </c>
      <c r="J70">
        <v>15</v>
      </c>
    </row>
    <row r="71" spans="1:10" x14ac:dyDescent="0.25">
      <c r="A71" t="s">
        <v>17</v>
      </c>
      <c r="B71">
        <v>10</v>
      </c>
      <c r="C71">
        <v>39.49</v>
      </c>
      <c r="D71">
        <v>39.49</v>
      </c>
      <c r="E71">
        <v>0</v>
      </c>
      <c r="F71">
        <v>17</v>
      </c>
      <c r="G71">
        <v>671.33</v>
      </c>
      <c r="H71" t="b">
        <v>0</v>
      </c>
      <c r="I71" t="s">
        <v>18</v>
      </c>
      <c r="J71">
        <v>17</v>
      </c>
    </row>
    <row r="72" spans="1:10" x14ac:dyDescent="0.25">
      <c r="A72" t="s">
        <v>17</v>
      </c>
      <c r="B72">
        <v>11</v>
      </c>
      <c r="C72">
        <v>39.49</v>
      </c>
      <c r="D72">
        <v>39.49</v>
      </c>
      <c r="E72">
        <v>0</v>
      </c>
      <c r="F72">
        <v>18</v>
      </c>
      <c r="G72">
        <v>710.82</v>
      </c>
      <c r="H72" t="b">
        <v>0</v>
      </c>
      <c r="I72" t="s">
        <v>18</v>
      </c>
      <c r="J72">
        <v>18</v>
      </c>
    </row>
    <row r="73" spans="1:10" x14ac:dyDescent="0.25">
      <c r="A73" t="s">
        <v>17</v>
      </c>
      <c r="B73">
        <v>12</v>
      </c>
      <c r="C73">
        <v>39.49</v>
      </c>
      <c r="D73">
        <v>39.49</v>
      </c>
      <c r="E73">
        <v>0</v>
      </c>
      <c r="F73">
        <v>13</v>
      </c>
      <c r="G73">
        <v>513.37</v>
      </c>
      <c r="H73" t="b">
        <v>0</v>
      </c>
      <c r="I73" t="s">
        <v>18</v>
      </c>
      <c r="J73">
        <v>13</v>
      </c>
    </row>
    <row r="74" spans="1:10" x14ac:dyDescent="0.25">
      <c r="A74" t="s">
        <v>19</v>
      </c>
      <c r="B74">
        <v>1</v>
      </c>
      <c r="C74">
        <v>55.32</v>
      </c>
      <c r="D74">
        <v>55.32</v>
      </c>
      <c r="E74">
        <v>0</v>
      </c>
      <c r="F74">
        <v>14</v>
      </c>
      <c r="G74">
        <v>774.48</v>
      </c>
      <c r="H74" t="b">
        <v>0</v>
      </c>
      <c r="I74" t="s">
        <v>18</v>
      </c>
      <c r="J74">
        <v>14</v>
      </c>
    </row>
    <row r="75" spans="1:10" x14ac:dyDescent="0.25">
      <c r="A75" t="s">
        <v>19</v>
      </c>
      <c r="B75">
        <v>2</v>
      </c>
      <c r="C75">
        <v>55.32</v>
      </c>
      <c r="D75">
        <v>55.32</v>
      </c>
      <c r="E75">
        <v>0</v>
      </c>
      <c r="F75">
        <v>12</v>
      </c>
      <c r="G75">
        <v>663.84</v>
      </c>
      <c r="H75" t="b">
        <v>0</v>
      </c>
      <c r="I75" t="s">
        <v>18</v>
      </c>
      <c r="J75">
        <v>12</v>
      </c>
    </row>
    <row r="76" spans="1:10" x14ac:dyDescent="0.25">
      <c r="A76" t="s">
        <v>19</v>
      </c>
      <c r="B76">
        <v>3</v>
      </c>
      <c r="C76">
        <v>55.32</v>
      </c>
      <c r="D76">
        <v>55.32</v>
      </c>
      <c r="E76">
        <v>0</v>
      </c>
      <c r="F76">
        <v>13</v>
      </c>
      <c r="G76">
        <v>719.16</v>
      </c>
      <c r="H76" t="b">
        <v>0</v>
      </c>
      <c r="I76" t="s">
        <v>18</v>
      </c>
      <c r="J76">
        <v>13</v>
      </c>
    </row>
    <row r="77" spans="1:10" x14ac:dyDescent="0.25">
      <c r="A77" t="s">
        <v>19</v>
      </c>
      <c r="B77">
        <v>4</v>
      </c>
      <c r="C77">
        <v>55.32</v>
      </c>
      <c r="D77">
        <v>55.32</v>
      </c>
      <c r="E77">
        <v>0</v>
      </c>
      <c r="F77">
        <v>11</v>
      </c>
      <c r="G77">
        <v>608.52</v>
      </c>
      <c r="H77" t="b">
        <v>1</v>
      </c>
      <c r="I77" t="s">
        <v>18</v>
      </c>
      <c r="J77">
        <v>11</v>
      </c>
    </row>
    <row r="78" spans="1:10" x14ac:dyDescent="0.25">
      <c r="A78" t="s">
        <v>19</v>
      </c>
      <c r="B78">
        <v>5</v>
      </c>
      <c r="C78">
        <v>55.32</v>
      </c>
      <c r="D78">
        <v>55.32</v>
      </c>
      <c r="E78">
        <v>0</v>
      </c>
      <c r="F78">
        <v>9</v>
      </c>
      <c r="G78">
        <v>497.88</v>
      </c>
      <c r="H78" t="b">
        <v>1</v>
      </c>
      <c r="I78" t="s">
        <v>18</v>
      </c>
      <c r="J78">
        <v>9</v>
      </c>
    </row>
    <row r="79" spans="1:10" x14ac:dyDescent="0.25">
      <c r="A79" t="s">
        <v>19</v>
      </c>
      <c r="B79">
        <v>6</v>
      </c>
      <c r="C79">
        <v>55.32</v>
      </c>
      <c r="D79">
        <v>55.32</v>
      </c>
      <c r="E79">
        <v>0</v>
      </c>
      <c r="F79">
        <v>10</v>
      </c>
      <c r="G79">
        <v>553.20000000000005</v>
      </c>
      <c r="H79" t="b">
        <v>0</v>
      </c>
      <c r="I79" t="s">
        <v>18</v>
      </c>
      <c r="J79">
        <v>10</v>
      </c>
    </row>
    <row r="80" spans="1:10" x14ac:dyDescent="0.25">
      <c r="A80" t="s">
        <v>19</v>
      </c>
      <c r="B80">
        <v>7</v>
      </c>
      <c r="C80">
        <v>55.32</v>
      </c>
      <c r="D80">
        <v>55.32</v>
      </c>
      <c r="E80">
        <v>0</v>
      </c>
      <c r="F80">
        <v>9</v>
      </c>
      <c r="G80">
        <v>497.88</v>
      </c>
      <c r="H80" t="b">
        <v>0</v>
      </c>
      <c r="I80" t="s">
        <v>18</v>
      </c>
      <c r="J80">
        <v>9</v>
      </c>
    </row>
    <row r="81" spans="1:10" x14ac:dyDescent="0.25">
      <c r="A81" t="s">
        <v>19</v>
      </c>
      <c r="B81">
        <v>8</v>
      </c>
      <c r="C81">
        <v>55.32</v>
      </c>
      <c r="D81">
        <v>55.32</v>
      </c>
      <c r="E81">
        <v>0</v>
      </c>
      <c r="F81">
        <v>9</v>
      </c>
      <c r="G81">
        <v>497.88</v>
      </c>
      <c r="H81" t="b">
        <v>0</v>
      </c>
      <c r="I81" t="s">
        <v>18</v>
      </c>
      <c r="J81">
        <v>9</v>
      </c>
    </row>
    <row r="82" spans="1:10" x14ac:dyDescent="0.25">
      <c r="A82" t="s">
        <v>19</v>
      </c>
      <c r="B82">
        <v>9</v>
      </c>
      <c r="C82">
        <v>55.32</v>
      </c>
      <c r="D82">
        <v>55.32</v>
      </c>
      <c r="E82">
        <v>0</v>
      </c>
      <c r="F82">
        <v>8</v>
      </c>
      <c r="G82">
        <v>442.56</v>
      </c>
      <c r="H82" t="b">
        <v>0</v>
      </c>
      <c r="I82" t="s">
        <v>18</v>
      </c>
      <c r="J82">
        <v>8</v>
      </c>
    </row>
    <row r="83" spans="1:10" x14ac:dyDescent="0.25">
      <c r="A83" t="s">
        <v>19</v>
      </c>
      <c r="B83">
        <v>10</v>
      </c>
      <c r="C83">
        <v>55.32</v>
      </c>
      <c r="D83">
        <v>55.32</v>
      </c>
      <c r="E83">
        <v>0</v>
      </c>
      <c r="F83">
        <v>9</v>
      </c>
      <c r="G83">
        <v>497.88</v>
      </c>
      <c r="H83" t="b">
        <v>0</v>
      </c>
      <c r="I83" t="s">
        <v>18</v>
      </c>
      <c r="J83">
        <v>9</v>
      </c>
    </row>
    <row r="84" spans="1:10" x14ac:dyDescent="0.25">
      <c r="A84" t="s">
        <v>19</v>
      </c>
      <c r="B84">
        <v>11</v>
      </c>
      <c r="C84">
        <v>55.32</v>
      </c>
      <c r="D84">
        <v>55.32</v>
      </c>
      <c r="E84">
        <v>0</v>
      </c>
      <c r="F84">
        <v>8</v>
      </c>
      <c r="G84">
        <v>442.56</v>
      </c>
      <c r="H84" t="b">
        <v>0</v>
      </c>
      <c r="I84" t="s">
        <v>18</v>
      </c>
      <c r="J84">
        <v>8</v>
      </c>
    </row>
    <row r="85" spans="1:10" x14ac:dyDescent="0.25">
      <c r="A85" t="s">
        <v>19</v>
      </c>
      <c r="B85">
        <v>12</v>
      </c>
      <c r="C85">
        <v>55.32</v>
      </c>
      <c r="D85">
        <v>55.32</v>
      </c>
      <c r="E85">
        <v>0</v>
      </c>
      <c r="F85">
        <v>7</v>
      </c>
      <c r="G85">
        <v>387.24</v>
      </c>
      <c r="H85" t="b">
        <v>0</v>
      </c>
      <c r="I85" t="s">
        <v>18</v>
      </c>
      <c r="J85">
        <v>7</v>
      </c>
    </row>
    <row r="86" spans="1:10" x14ac:dyDescent="0.25">
      <c r="A86" t="s">
        <v>20</v>
      </c>
      <c r="B86">
        <v>1</v>
      </c>
      <c r="C86">
        <v>89.69</v>
      </c>
      <c r="D86">
        <v>89.69</v>
      </c>
      <c r="E86">
        <v>0</v>
      </c>
      <c r="F86">
        <v>27</v>
      </c>
      <c r="G86">
        <v>2421.63</v>
      </c>
      <c r="H86" t="b">
        <v>0</v>
      </c>
      <c r="I86" t="s">
        <v>18</v>
      </c>
      <c r="J86">
        <v>27</v>
      </c>
    </row>
    <row r="87" spans="1:10" x14ac:dyDescent="0.25">
      <c r="A87" t="s">
        <v>20</v>
      </c>
      <c r="B87">
        <v>2</v>
      </c>
      <c r="C87">
        <v>89.69</v>
      </c>
      <c r="D87">
        <v>89.69</v>
      </c>
      <c r="E87">
        <v>0</v>
      </c>
      <c r="F87">
        <v>28</v>
      </c>
      <c r="G87">
        <v>2511.3200000000002</v>
      </c>
      <c r="H87" t="b">
        <v>0</v>
      </c>
      <c r="I87" t="s">
        <v>18</v>
      </c>
      <c r="J87">
        <v>28</v>
      </c>
    </row>
    <row r="88" spans="1:10" x14ac:dyDescent="0.25">
      <c r="A88" t="s">
        <v>20</v>
      </c>
      <c r="B88">
        <v>3</v>
      </c>
      <c r="C88">
        <v>89.69</v>
      </c>
      <c r="D88">
        <v>89.69</v>
      </c>
      <c r="E88">
        <v>0</v>
      </c>
      <c r="F88">
        <v>25</v>
      </c>
      <c r="G88">
        <v>2242.25</v>
      </c>
      <c r="H88" t="b">
        <v>0</v>
      </c>
      <c r="I88" t="s">
        <v>18</v>
      </c>
      <c r="J88">
        <v>25</v>
      </c>
    </row>
    <row r="89" spans="1:10" x14ac:dyDescent="0.25">
      <c r="A89" t="s">
        <v>20</v>
      </c>
      <c r="B89">
        <v>4</v>
      </c>
      <c r="C89">
        <v>89.69</v>
      </c>
      <c r="D89">
        <v>89.69</v>
      </c>
      <c r="E89">
        <v>0</v>
      </c>
      <c r="F89">
        <v>23</v>
      </c>
      <c r="G89">
        <v>2062.87</v>
      </c>
      <c r="H89" t="b">
        <v>1</v>
      </c>
      <c r="I89" t="s">
        <v>18</v>
      </c>
      <c r="J89">
        <v>23</v>
      </c>
    </row>
    <row r="90" spans="1:10" x14ac:dyDescent="0.25">
      <c r="A90" t="s">
        <v>20</v>
      </c>
      <c r="B90">
        <v>5</v>
      </c>
      <c r="C90">
        <v>89.69</v>
      </c>
      <c r="D90">
        <v>89.69</v>
      </c>
      <c r="E90">
        <v>0</v>
      </c>
      <c r="F90">
        <v>26</v>
      </c>
      <c r="G90">
        <v>2331.94</v>
      </c>
      <c r="H90" t="b">
        <v>1</v>
      </c>
      <c r="I90" t="s">
        <v>18</v>
      </c>
      <c r="J90">
        <v>26</v>
      </c>
    </row>
    <row r="91" spans="1:10" x14ac:dyDescent="0.25">
      <c r="A91" t="s">
        <v>20</v>
      </c>
      <c r="B91">
        <v>6</v>
      </c>
      <c r="C91">
        <v>89.69</v>
      </c>
      <c r="D91">
        <v>89.69</v>
      </c>
      <c r="E91">
        <v>0</v>
      </c>
      <c r="F91">
        <v>19</v>
      </c>
      <c r="G91">
        <v>1704.11</v>
      </c>
      <c r="H91" t="b">
        <v>0</v>
      </c>
      <c r="I91" t="s">
        <v>18</v>
      </c>
      <c r="J91">
        <v>19</v>
      </c>
    </row>
    <row r="92" spans="1:10" x14ac:dyDescent="0.25">
      <c r="A92" t="s">
        <v>20</v>
      </c>
      <c r="B92">
        <v>7</v>
      </c>
      <c r="C92">
        <v>89.69</v>
      </c>
      <c r="D92">
        <v>89.69</v>
      </c>
      <c r="E92">
        <v>0</v>
      </c>
      <c r="F92">
        <v>18</v>
      </c>
      <c r="G92">
        <v>1614.42</v>
      </c>
      <c r="H92" t="b">
        <v>0</v>
      </c>
      <c r="I92" t="s">
        <v>18</v>
      </c>
      <c r="J92">
        <v>18</v>
      </c>
    </row>
    <row r="93" spans="1:10" x14ac:dyDescent="0.25">
      <c r="A93" t="s">
        <v>20</v>
      </c>
      <c r="B93">
        <v>8</v>
      </c>
      <c r="C93">
        <v>89.69</v>
      </c>
      <c r="D93">
        <v>89.69</v>
      </c>
      <c r="E93">
        <v>0</v>
      </c>
      <c r="F93">
        <v>21</v>
      </c>
      <c r="G93">
        <v>1883.49</v>
      </c>
      <c r="H93" t="b">
        <v>0</v>
      </c>
      <c r="I93" t="s">
        <v>18</v>
      </c>
      <c r="J93">
        <v>21</v>
      </c>
    </row>
    <row r="94" spans="1:10" x14ac:dyDescent="0.25">
      <c r="A94" t="s">
        <v>20</v>
      </c>
      <c r="B94">
        <v>9</v>
      </c>
      <c r="C94">
        <v>89.69</v>
      </c>
      <c r="D94">
        <v>89.69</v>
      </c>
      <c r="E94">
        <v>0</v>
      </c>
      <c r="F94">
        <v>21</v>
      </c>
      <c r="G94">
        <v>1883.49</v>
      </c>
      <c r="H94" t="b">
        <v>0</v>
      </c>
      <c r="I94" t="s">
        <v>18</v>
      </c>
      <c r="J94">
        <v>21</v>
      </c>
    </row>
    <row r="95" spans="1:10" x14ac:dyDescent="0.25">
      <c r="A95" t="s">
        <v>20</v>
      </c>
      <c r="B95">
        <v>10</v>
      </c>
      <c r="C95">
        <v>89.69</v>
      </c>
      <c r="D95">
        <v>89.69</v>
      </c>
      <c r="E95">
        <v>0</v>
      </c>
      <c r="F95">
        <v>21</v>
      </c>
      <c r="G95">
        <v>1883.49</v>
      </c>
      <c r="H95" t="b">
        <v>0</v>
      </c>
      <c r="I95" t="s">
        <v>18</v>
      </c>
      <c r="J95">
        <v>21</v>
      </c>
    </row>
    <row r="96" spans="1:10" x14ac:dyDescent="0.25">
      <c r="A96" t="s">
        <v>20</v>
      </c>
      <c r="B96">
        <v>11</v>
      </c>
      <c r="C96">
        <v>89.69</v>
      </c>
      <c r="D96">
        <v>89.69</v>
      </c>
      <c r="E96">
        <v>0</v>
      </c>
      <c r="F96">
        <v>16</v>
      </c>
      <c r="G96">
        <v>1435.04</v>
      </c>
      <c r="H96" t="b">
        <v>0</v>
      </c>
      <c r="I96" t="s">
        <v>18</v>
      </c>
      <c r="J96">
        <v>16</v>
      </c>
    </row>
    <row r="97" spans="1:10" x14ac:dyDescent="0.25">
      <c r="A97" t="s">
        <v>20</v>
      </c>
      <c r="B97">
        <v>12</v>
      </c>
      <c r="C97">
        <v>89.69</v>
      </c>
      <c r="D97">
        <v>89.69</v>
      </c>
      <c r="E97">
        <v>0</v>
      </c>
      <c r="F97">
        <v>12</v>
      </c>
      <c r="G97">
        <v>1076.28</v>
      </c>
      <c r="H97" t="b">
        <v>0</v>
      </c>
      <c r="I97" t="s">
        <v>18</v>
      </c>
      <c r="J97">
        <v>12</v>
      </c>
    </row>
    <row r="98" spans="1:10" x14ac:dyDescent="0.25">
      <c r="A98" t="s">
        <v>21</v>
      </c>
      <c r="B98">
        <v>1</v>
      </c>
      <c r="C98">
        <v>89.23</v>
      </c>
      <c r="D98">
        <v>89.23</v>
      </c>
      <c r="E98">
        <v>0</v>
      </c>
      <c r="F98">
        <v>28</v>
      </c>
      <c r="G98">
        <v>2498.44</v>
      </c>
      <c r="H98" t="b">
        <v>0</v>
      </c>
      <c r="I98" t="s">
        <v>18</v>
      </c>
      <c r="J98">
        <v>28</v>
      </c>
    </row>
    <row r="99" spans="1:10" x14ac:dyDescent="0.25">
      <c r="A99" t="s">
        <v>21</v>
      </c>
      <c r="B99">
        <v>2</v>
      </c>
      <c r="C99">
        <v>89.23</v>
      </c>
      <c r="D99">
        <v>89.23</v>
      </c>
      <c r="E99">
        <v>0</v>
      </c>
      <c r="F99">
        <v>26</v>
      </c>
      <c r="G99">
        <v>2319.98</v>
      </c>
      <c r="H99" t="b">
        <v>0</v>
      </c>
      <c r="I99" t="s">
        <v>18</v>
      </c>
      <c r="J99">
        <v>26</v>
      </c>
    </row>
    <row r="100" spans="1:10" x14ac:dyDescent="0.25">
      <c r="A100" t="s">
        <v>21</v>
      </c>
      <c r="B100">
        <v>3</v>
      </c>
      <c r="C100">
        <v>89.23</v>
      </c>
      <c r="D100">
        <v>89.23</v>
      </c>
      <c r="E100">
        <v>0</v>
      </c>
      <c r="F100">
        <v>25</v>
      </c>
      <c r="G100">
        <v>2230.75</v>
      </c>
      <c r="H100" t="b">
        <v>0</v>
      </c>
      <c r="I100" t="s">
        <v>18</v>
      </c>
      <c r="J100">
        <v>25</v>
      </c>
    </row>
    <row r="101" spans="1:10" x14ac:dyDescent="0.25">
      <c r="A101" t="s">
        <v>21</v>
      </c>
      <c r="B101">
        <v>4</v>
      </c>
      <c r="C101">
        <v>89.23</v>
      </c>
      <c r="D101">
        <v>89.23</v>
      </c>
      <c r="E101">
        <v>0</v>
      </c>
      <c r="F101">
        <v>19</v>
      </c>
      <c r="G101">
        <v>1695.37</v>
      </c>
      <c r="H101" t="b">
        <v>1</v>
      </c>
      <c r="I101" t="s">
        <v>18</v>
      </c>
      <c r="J101">
        <v>19</v>
      </c>
    </row>
    <row r="102" spans="1:10" x14ac:dyDescent="0.25">
      <c r="A102" t="s">
        <v>21</v>
      </c>
      <c r="B102">
        <v>5</v>
      </c>
      <c r="C102">
        <v>89.23</v>
      </c>
      <c r="D102">
        <v>89.23</v>
      </c>
      <c r="E102">
        <v>0</v>
      </c>
      <c r="F102">
        <v>25</v>
      </c>
      <c r="G102">
        <v>2230.75</v>
      </c>
      <c r="H102" t="b">
        <v>1</v>
      </c>
      <c r="I102" t="s">
        <v>18</v>
      </c>
      <c r="J102">
        <v>25</v>
      </c>
    </row>
    <row r="103" spans="1:10" x14ac:dyDescent="0.25">
      <c r="A103" t="s">
        <v>21</v>
      </c>
      <c r="B103">
        <v>6</v>
      </c>
      <c r="C103">
        <v>89.23</v>
      </c>
      <c r="D103">
        <v>89.23</v>
      </c>
      <c r="E103">
        <v>0</v>
      </c>
      <c r="F103">
        <v>19</v>
      </c>
      <c r="G103">
        <v>1695.37</v>
      </c>
      <c r="H103" t="b">
        <v>0</v>
      </c>
      <c r="I103" t="s">
        <v>18</v>
      </c>
      <c r="J103">
        <v>19</v>
      </c>
    </row>
    <row r="104" spans="1:10" x14ac:dyDescent="0.25">
      <c r="A104" t="s">
        <v>21</v>
      </c>
      <c r="B104">
        <v>7</v>
      </c>
      <c r="C104">
        <v>89.23</v>
      </c>
      <c r="D104">
        <v>89.23</v>
      </c>
      <c r="E104">
        <v>0</v>
      </c>
      <c r="F104">
        <v>17</v>
      </c>
      <c r="G104">
        <v>1516.91</v>
      </c>
      <c r="H104" t="b">
        <v>0</v>
      </c>
      <c r="I104" t="s">
        <v>18</v>
      </c>
      <c r="J104">
        <v>17</v>
      </c>
    </row>
    <row r="105" spans="1:10" x14ac:dyDescent="0.25">
      <c r="A105" t="s">
        <v>21</v>
      </c>
      <c r="B105">
        <v>8</v>
      </c>
      <c r="C105">
        <v>89.23</v>
      </c>
      <c r="D105">
        <v>89.23</v>
      </c>
      <c r="E105">
        <v>0</v>
      </c>
      <c r="F105">
        <v>21</v>
      </c>
      <c r="G105">
        <v>1873.83</v>
      </c>
      <c r="H105" t="b">
        <v>0</v>
      </c>
      <c r="I105" t="s">
        <v>18</v>
      </c>
      <c r="J105">
        <v>21</v>
      </c>
    </row>
    <row r="106" spans="1:10" x14ac:dyDescent="0.25">
      <c r="A106" t="s">
        <v>21</v>
      </c>
      <c r="B106">
        <v>9</v>
      </c>
      <c r="C106">
        <v>89.23</v>
      </c>
      <c r="D106">
        <v>89.23</v>
      </c>
      <c r="E106">
        <v>0</v>
      </c>
      <c r="F106">
        <v>19</v>
      </c>
      <c r="G106">
        <v>1695.37</v>
      </c>
      <c r="H106" t="b">
        <v>0</v>
      </c>
      <c r="I106" t="s">
        <v>18</v>
      </c>
      <c r="J106">
        <v>19</v>
      </c>
    </row>
    <row r="107" spans="1:10" x14ac:dyDescent="0.25">
      <c r="A107" t="s">
        <v>21</v>
      </c>
      <c r="B107">
        <v>10</v>
      </c>
      <c r="C107">
        <v>89.23</v>
      </c>
      <c r="D107">
        <v>89.23</v>
      </c>
      <c r="E107">
        <v>0</v>
      </c>
      <c r="F107">
        <v>14</v>
      </c>
      <c r="G107">
        <v>1249.22</v>
      </c>
      <c r="H107" t="b">
        <v>0</v>
      </c>
      <c r="I107" t="s">
        <v>18</v>
      </c>
      <c r="J107">
        <v>14</v>
      </c>
    </row>
    <row r="108" spans="1:10" x14ac:dyDescent="0.25">
      <c r="A108" t="s">
        <v>21</v>
      </c>
      <c r="B108">
        <v>11</v>
      </c>
      <c r="C108">
        <v>89.23</v>
      </c>
      <c r="D108">
        <v>89.23</v>
      </c>
      <c r="E108">
        <v>0</v>
      </c>
      <c r="F108">
        <v>15</v>
      </c>
      <c r="G108">
        <v>1338.45</v>
      </c>
      <c r="H108" t="b">
        <v>0</v>
      </c>
      <c r="I108" t="s">
        <v>18</v>
      </c>
      <c r="J108">
        <v>15</v>
      </c>
    </row>
    <row r="109" spans="1:10" x14ac:dyDescent="0.25">
      <c r="A109" t="s">
        <v>21</v>
      </c>
      <c r="B109">
        <v>12</v>
      </c>
      <c r="C109">
        <v>89.23</v>
      </c>
      <c r="D109">
        <v>89.23</v>
      </c>
      <c r="E109">
        <v>0</v>
      </c>
      <c r="F109">
        <v>13</v>
      </c>
      <c r="G109">
        <v>1159.99</v>
      </c>
      <c r="H109" t="b">
        <v>0</v>
      </c>
      <c r="I109" t="s">
        <v>18</v>
      </c>
      <c r="J109">
        <v>13</v>
      </c>
    </row>
    <row r="110" spans="1:10" x14ac:dyDescent="0.25">
      <c r="A110" t="s">
        <v>22</v>
      </c>
      <c r="B110">
        <v>1</v>
      </c>
      <c r="C110">
        <v>31.21</v>
      </c>
      <c r="D110">
        <v>31.21</v>
      </c>
      <c r="E110">
        <v>0</v>
      </c>
      <c r="F110">
        <v>29</v>
      </c>
      <c r="G110">
        <v>905.09</v>
      </c>
      <c r="H110" t="b">
        <v>0</v>
      </c>
      <c r="I110" t="s">
        <v>18</v>
      </c>
      <c r="J110">
        <v>29</v>
      </c>
    </row>
    <row r="111" spans="1:10" x14ac:dyDescent="0.25">
      <c r="A111" t="s">
        <v>22</v>
      </c>
      <c r="B111">
        <v>2</v>
      </c>
      <c r="C111">
        <v>31.21</v>
      </c>
      <c r="D111">
        <v>31.21</v>
      </c>
      <c r="E111">
        <v>0</v>
      </c>
      <c r="F111">
        <v>26</v>
      </c>
      <c r="G111">
        <v>811.46</v>
      </c>
      <c r="H111" t="b">
        <v>0</v>
      </c>
      <c r="I111" t="s">
        <v>18</v>
      </c>
      <c r="J111">
        <v>26</v>
      </c>
    </row>
    <row r="112" spans="1:10" x14ac:dyDescent="0.25">
      <c r="A112" t="s">
        <v>22</v>
      </c>
      <c r="B112">
        <v>3</v>
      </c>
      <c r="C112">
        <v>31.21</v>
      </c>
      <c r="D112">
        <v>31.21</v>
      </c>
      <c r="E112">
        <v>0</v>
      </c>
      <c r="F112">
        <v>23</v>
      </c>
      <c r="G112">
        <v>717.83</v>
      </c>
      <c r="H112" t="b">
        <v>0</v>
      </c>
      <c r="I112" t="s">
        <v>18</v>
      </c>
      <c r="J112">
        <v>23</v>
      </c>
    </row>
    <row r="113" spans="1:10" x14ac:dyDescent="0.25">
      <c r="A113" t="s">
        <v>22</v>
      </c>
      <c r="B113">
        <v>4</v>
      </c>
      <c r="C113">
        <v>31.21</v>
      </c>
      <c r="D113">
        <v>31.21</v>
      </c>
      <c r="E113">
        <v>0</v>
      </c>
      <c r="F113">
        <v>24</v>
      </c>
      <c r="G113">
        <v>749.04</v>
      </c>
      <c r="H113" t="b">
        <v>1</v>
      </c>
      <c r="I113" t="s">
        <v>18</v>
      </c>
      <c r="J113">
        <v>24</v>
      </c>
    </row>
    <row r="114" spans="1:10" x14ac:dyDescent="0.25">
      <c r="A114" t="s">
        <v>22</v>
      </c>
      <c r="B114">
        <v>5</v>
      </c>
      <c r="C114">
        <v>31.21</v>
      </c>
      <c r="D114">
        <v>31.21</v>
      </c>
      <c r="E114">
        <v>0</v>
      </c>
      <c r="F114">
        <v>24</v>
      </c>
      <c r="G114">
        <v>749.04</v>
      </c>
      <c r="H114" t="b">
        <v>1</v>
      </c>
      <c r="I114" t="s">
        <v>18</v>
      </c>
      <c r="J114">
        <v>24</v>
      </c>
    </row>
    <row r="115" spans="1:10" x14ac:dyDescent="0.25">
      <c r="A115" t="s">
        <v>22</v>
      </c>
      <c r="B115">
        <v>6</v>
      </c>
      <c r="C115">
        <v>31.21</v>
      </c>
      <c r="D115">
        <v>31.21</v>
      </c>
      <c r="E115">
        <v>0</v>
      </c>
      <c r="F115">
        <v>18</v>
      </c>
      <c r="G115">
        <v>561.78</v>
      </c>
      <c r="H115" t="b">
        <v>0</v>
      </c>
      <c r="I115" t="s">
        <v>18</v>
      </c>
      <c r="J115">
        <v>18</v>
      </c>
    </row>
    <row r="116" spans="1:10" x14ac:dyDescent="0.25">
      <c r="A116" t="s">
        <v>22</v>
      </c>
      <c r="B116">
        <v>7</v>
      </c>
      <c r="C116">
        <v>31.21</v>
      </c>
      <c r="D116">
        <v>31.21</v>
      </c>
      <c r="E116">
        <v>0</v>
      </c>
      <c r="F116">
        <v>24</v>
      </c>
      <c r="G116">
        <v>749.04</v>
      </c>
      <c r="H116" t="b">
        <v>0</v>
      </c>
      <c r="I116" t="s">
        <v>18</v>
      </c>
      <c r="J116">
        <v>24</v>
      </c>
    </row>
    <row r="117" spans="1:10" x14ac:dyDescent="0.25">
      <c r="A117" t="s">
        <v>22</v>
      </c>
      <c r="B117">
        <v>8</v>
      </c>
      <c r="C117">
        <v>31.21</v>
      </c>
      <c r="D117">
        <v>31.21</v>
      </c>
      <c r="E117">
        <v>0</v>
      </c>
      <c r="F117">
        <v>23</v>
      </c>
      <c r="G117">
        <v>717.83</v>
      </c>
      <c r="H117" t="b">
        <v>0</v>
      </c>
      <c r="I117" t="s">
        <v>18</v>
      </c>
      <c r="J117">
        <v>23</v>
      </c>
    </row>
    <row r="118" spans="1:10" x14ac:dyDescent="0.25">
      <c r="A118" t="s">
        <v>22</v>
      </c>
      <c r="B118">
        <v>9</v>
      </c>
      <c r="C118">
        <v>31.21</v>
      </c>
      <c r="D118">
        <v>31.21</v>
      </c>
      <c r="E118">
        <v>0</v>
      </c>
      <c r="F118">
        <v>21</v>
      </c>
      <c r="G118">
        <v>655.41</v>
      </c>
      <c r="H118" t="b">
        <v>0</v>
      </c>
      <c r="I118" t="s">
        <v>18</v>
      </c>
      <c r="J118">
        <v>21</v>
      </c>
    </row>
    <row r="119" spans="1:10" x14ac:dyDescent="0.25">
      <c r="A119" t="s">
        <v>22</v>
      </c>
      <c r="B119">
        <v>10</v>
      </c>
      <c r="C119">
        <v>31.21</v>
      </c>
      <c r="D119">
        <v>31.21</v>
      </c>
      <c r="E119">
        <v>0</v>
      </c>
      <c r="F119">
        <v>20</v>
      </c>
      <c r="G119">
        <v>624.20000000000005</v>
      </c>
      <c r="H119" t="b">
        <v>0</v>
      </c>
      <c r="I119" t="s">
        <v>18</v>
      </c>
      <c r="J119">
        <v>20</v>
      </c>
    </row>
    <row r="120" spans="1:10" x14ac:dyDescent="0.25">
      <c r="A120" t="s">
        <v>22</v>
      </c>
      <c r="B120">
        <v>11</v>
      </c>
      <c r="C120">
        <v>31.21</v>
      </c>
      <c r="D120">
        <v>31.21</v>
      </c>
      <c r="E120">
        <v>0</v>
      </c>
      <c r="F120">
        <v>21</v>
      </c>
      <c r="G120">
        <v>655.41</v>
      </c>
      <c r="H120" t="b">
        <v>0</v>
      </c>
      <c r="I120" t="s">
        <v>18</v>
      </c>
      <c r="J120">
        <v>21</v>
      </c>
    </row>
    <row r="121" spans="1:10" x14ac:dyDescent="0.25">
      <c r="A121" t="s">
        <v>22</v>
      </c>
      <c r="B121">
        <v>12</v>
      </c>
      <c r="C121">
        <v>31.21</v>
      </c>
      <c r="D121">
        <v>31.21</v>
      </c>
      <c r="E121">
        <v>0</v>
      </c>
      <c r="F121">
        <v>14</v>
      </c>
      <c r="G121">
        <v>436.94</v>
      </c>
      <c r="H121" t="b">
        <v>0</v>
      </c>
      <c r="I121" t="s">
        <v>18</v>
      </c>
      <c r="J121">
        <v>14</v>
      </c>
    </row>
    <row r="122" spans="1:10" x14ac:dyDescent="0.25">
      <c r="A122" t="s">
        <v>23</v>
      </c>
      <c r="B122">
        <v>1</v>
      </c>
      <c r="C122">
        <v>22.5</v>
      </c>
      <c r="D122">
        <v>22.5</v>
      </c>
      <c r="E122">
        <v>0</v>
      </c>
      <c r="F122">
        <v>24</v>
      </c>
      <c r="G122">
        <v>540</v>
      </c>
      <c r="H122" t="b">
        <v>0</v>
      </c>
      <c r="I122" t="s">
        <v>18</v>
      </c>
      <c r="J122">
        <v>24</v>
      </c>
    </row>
    <row r="123" spans="1:10" x14ac:dyDescent="0.25">
      <c r="A123" t="s">
        <v>23</v>
      </c>
      <c r="B123">
        <v>2</v>
      </c>
      <c r="C123">
        <v>22.5</v>
      </c>
      <c r="D123">
        <v>22.5</v>
      </c>
      <c r="E123">
        <v>0</v>
      </c>
      <c r="F123">
        <v>20</v>
      </c>
      <c r="G123">
        <v>450</v>
      </c>
      <c r="H123" t="b">
        <v>0</v>
      </c>
      <c r="I123" t="s">
        <v>18</v>
      </c>
      <c r="J123">
        <v>20</v>
      </c>
    </row>
    <row r="124" spans="1:10" x14ac:dyDescent="0.25">
      <c r="A124" t="s">
        <v>23</v>
      </c>
      <c r="B124">
        <v>3</v>
      </c>
      <c r="C124">
        <v>22.5</v>
      </c>
      <c r="D124">
        <v>22.5</v>
      </c>
      <c r="E124">
        <v>0</v>
      </c>
      <c r="F124">
        <v>21</v>
      </c>
      <c r="G124">
        <v>472.5</v>
      </c>
      <c r="H124" t="b">
        <v>0</v>
      </c>
      <c r="I124" t="s">
        <v>18</v>
      </c>
      <c r="J124">
        <v>21</v>
      </c>
    </row>
    <row r="125" spans="1:10" x14ac:dyDescent="0.25">
      <c r="A125" t="s">
        <v>23</v>
      </c>
      <c r="B125">
        <v>4</v>
      </c>
      <c r="C125">
        <v>22.5</v>
      </c>
      <c r="D125">
        <v>22.5</v>
      </c>
      <c r="E125">
        <v>0</v>
      </c>
      <c r="F125">
        <v>17</v>
      </c>
      <c r="G125">
        <v>382.5</v>
      </c>
      <c r="H125" t="b">
        <v>1</v>
      </c>
      <c r="I125" t="s">
        <v>18</v>
      </c>
      <c r="J125">
        <v>17</v>
      </c>
    </row>
    <row r="126" spans="1:10" x14ac:dyDescent="0.25">
      <c r="A126" t="s">
        <v>23</v>
      </c>
      <c r="B126">
        <v>5</v>
      </c>
      <c r="C126">
        <v>22.5</v>
      </c>
      <c r="D126">
        <v>22.5</v>
      </c>
      <c r="E126">
        <v>0</v>
      </c>
      <c r="F126">
        <v>18</v>
      </c>
      <c r="G126">
        <v>405</v>
      </c>
      <c r="H126" t="b">
        <v>1</v>
      </c>
      <c r="I126" t="s">
        <v>18</v>
      </c>
      <c r="J126">
        <v>18</v>
      </c>
    </row>
    <row r="127" spans="1:10" x14ac:dyDescent="0.25">
      <c r="A127" t="s">
        <v>23</v>
      </c>
      <c r="B127">
        <v>6</v>
      </c>
      <c r="C127">
        <v>22.5</v>
      </c>
      <c r="D127">
        <v>22.5</v>
      </c>
      <c r="E127">
        <v>0</v>
      </c>
      <c r="F127">
        <v>15</v>
      </c>
      <c r="G127">
        <v>337.5</v>
      </c>
      <c r="H127" t="b">
        <v>0</v>
      </c>
      <c r="I127" t="s">
        <v>18</v>
      </c>
      <c r="J127">
        <v>15</v>
      </c>
    </row>
    <row r="128" spans="1:10" x14ac:dyDescent="0.25">
      <c r="A128" t="s">
        <v>23</v>
      </c>
      <c r="B128">
        <v>7</v>
      </c>
      <c r="C128">
        <v>22.5</v>
      </c>
      <c r="D128">
        <v>22.5</v>
      </c>
      <c r="E128">
        <v>0</v>
      </c>
      <c r="F128">
        <v>15</v>
      </c>
      <c r="G128">
        <v>337.5</v>
      </c>
      <c r="H128" t="b">
        <v>0</v>
      </c>
      <c r="I128" t="s">
        <v>18</v>
      </c>
      <c r="J128">
        <v>15</v>
      </c>
    </row>
    <row r="129" spans="1:10" x14ac:dyDescent="0.25">
      <c r="A129" t="s">
        <v>23</v>
      </c>
      <c r="B129">
        <v>8</v>
      </c>
      <c r="C129">
        <v>22.5</v>
      </c>
      <c r="D129">
        <v>22.5</v>
      </c>
      <c r="E129">
        <v>0</v>
      </c>
      <c r="F129">
        <v>18</v>
      </c>
      <c r="G129">
        <v>405</v>
      </c>
      <c r="H129" t="b">
        <v>0</v>
      </c>
      <c r="I129" t="s">
        <v>18</v>
      </c>
      <c r="J129">
        <v>18</v>
      </c>
    </row>
    <row r="130" spans="1:10" x14ac:dyDescent="0.25">
      <c r="A130" t="s">
        <v>23</v>
      </c>
      <c r="B130">
        <v>9</v>
      </c>
      <c r="C130">
        <v>22.5</v>
      </c>
      <c r="D130">
        <v>22.5</v>
      </c>
      <c r="E130">
        <v>0</v>
      </c>
      <c r="F130">
        <v>16</v>
      </c>
      <c r="G130">
        <v>360</v>
      </c>
      <c r="H130" t="b">
        <v>0</v>
      </c>
      <c r="I130" t="s">
        <v>18</v>
      </c>
      <c r="J130">
        <v>16</v>
      </c>
    </row>
    <row r="131" spans="1:10" x14ac:dyDescent="0.25">
      <c r="A131" t="s">
        <v>23</v>
      </c>
      <c r="B131">
        <v>10</v>
      </c>
      <c r="C131">
        <v>22.5</v>
      </c>
      <c r="D131">
        <v>22.5</v>
      </c>
      <c r="E131">
        <v>0</v>
      </c>
      <c r="F131">
        <v>14</v>
      </c>
      <c r="G131">
        <v>315</v>
      </c>
      <c r="H131" t="b">
        <v>0</v>
      </c>
      <c r="I131" t="s">
        <v>18</v>
      </c>
      <c r="J131">
        <v>14</v>
      </c>
    </row>
    <row r="132" spans="1:10" x14ac:dyDescent="0.25">
      <c r="A132" t="s">
        <v>23</v>
      </c>
      <c r="B132">
        <v>11</v>
      </c>
      <c r="C132">
        <v>22.5</v>
      </c>
      <c r="D132">
        <v>22.5</v>
      </c>
      <c r="E132">
        <v>0</v>
      </c>
      <c r="F132">
        <v>15</v>
      </c>
      <c r="G132">
        <v>337.5</v>
      </c>
      <c r="H132" t="b">
        <v>0</v>
      </c>
      <c r="I132" t="s">
        <v>18</v>
      </c>
      <c r="J132">
        <v>15</v>
      </c>
    </row>
    <row r="133" spans="1:10" x14ac:dyDescent="0.25">
      <c r="A133" t="s">
        <v>23</v>
      </c>
      <c r="B133">
        <v>12</v>
      </c>
      <c r="C133">
        <v>22.5</v>
      </c>
      <c r="D133">
        <v>22.5</v>
      </c>
      <c r="E133">
        <v>0</v>
      </c>
      <c r="F133">
        <v>8</v>
      </c>
      <c r="G133">
        <v>180</v>
      </c>
      <c r="H133" t="b">
        <v>0</v>
      </c>
      <c r="I133" t="s">
        <v>18</v>
      </c>
      <c r="J133">
        <v>8</v>
      </c>
    </row>
    <row r="134" spans="1:10" x14ac:dyDescent="0.25">
      <c r="A134" t="s">
        <v>24</v>
      </c>
      <c r="B134">
        <v>1</v>
      </c>
      <c r="C134">
        <v>52.63</v>
      </c>
      <c r="D134">
        <v>52.63</v>
      </c>
      <c r="E134">
        <v>0</v>
      </c>
      <c r="F134">
        <v>32</v>
      </c>
      <c r="G134">
        <v>1684.16</v>
      </c>
      <c r="H134" t="b">
        <v>0</v>
      </c>
      <c r="I134" t="s">
        <v>18</v>
      </c>
      <c r="J134">
        <v>32</v>
      </c>
    </row>
    <row r="135" spans="1:10" x14ac:dyDescent="0.25">
      <c r="A135" t="s">
        <v>24</v>
      </c>
      <c r="B135">
        <v>2</v>
      </c>
      <c r="C135">
        <v>52.63</v>
      </c>
      <c r="D135">
        <v>52.63</v>
      </c>
      <c r="E135">
        <v>0</v>
      </c>
      <c r="F135">
        <v>25</v>
      </c>
      <c r="G135">
        <v>1315.75</v>
      </c>
      <c r="H135" t="b">
        <v>0</v>
      </c>
      <c r="I135" t="s">
        <v>18</v>
      </c>
      <c r="J135">
        <v>25</v>
      </c>
    </row>
    <row r="136" spans="1:10" x14ac:dyDescent="0.25">
      <c r="A136" t="s">
        <v>24</v>
      </c>
      <c r="B136">
        <v>3</v>
      </c>
      <c r="C136">
        <v>52.63</v>
      </c>
      <c r="D136">
        <v>52.63</v>
      </c>
      <c r="E136">
        <v>0</v>
      </c>
      <c r="F136">
        <v>21</v>
      </c>
      <c r="G136">
        <v>1105.23</v>
      </c>
      <c r="H136" t="b">
        <v>0</v>
      </c>
      <c r="I136" t="s">
        <v>18</v>
      </c>
      <c r="J136">
        <v>21</v>
      </c>
    </row>
    <row r="137" spans="1:10" x14ac:dyDescent="0.25">
      <c r="A137" t="s">
        <v>24</v>
      </c>
      <c r="B137">
        <v>4</v>
      </c>
      <c r="C137">
        <v>52.63</v>
      </c>
      <c r="D137">
        <v>52.63</v>
      </c>
      <c r="E137">
        <v>0</v>
      </c>
      <c r="F137">
        <v>25</v>
      </c>
      <c r="G137">
        <v>1315.75</v>
      </c>
      <c r="H137" t="b">
        <v>1</v>
      </c>
      <c r="I137" t="s">
        <v>18</v>
      </c>
      <c r="J137">
        <v>25</v>
      </c>
    </row>
    <row r="138" spans="1:10" x14ac:dyDescent="0.25">
      <c r="A138" t="s">
        <v>24</v>
      </c>
      <c r="B138">
        <v>5</v>
      </c>
      <c r="C138">
        <v>52.63</v>
      </c>
      <c r="D138">
        <v>52.63</v>
      </c>
      <c r="E138">
        <v>0</v>
      </c>
      <c r="F138">
        <v>22</v>
      </c>
      <c r="G138">
        <v>1157.8599999999999</v>
      </c>
      <c r="H138" t="b">
        <v>1</v>
      </c>
      <c r="I138" t="s">
        <v>18</v>
      </c>
      <c r="J138">
        <v>22</v>
      </c>
    </row>
    <row r="139" spans="1:10" x14ac:dyDescent="0.25">
      <c r="A139" t="s">
        <v>24</v>
      </c>
      <c r="B139">
        <v>6</v>
      </c>
      <c r="C139">
        <v>52.63</v>
      </c>
      <c r="D139">
        <v>52.63</v>
      </c>
      <c r="E139">
        <v>0</v>
      </c>
      <c r="F139">
        <v>23</v>
      </c>
      <c r="G139">
        <v>1210.49</v>
      </c>
      <c r="H139" t="b">
        <v>0</v>
      </c>
      <c r="I139" t="s">
        <v>18</v>
      </c>
      <c r="J139">
        <v>23</v>
      </c>
    </row>
    <row r="140" spans="1:10" x14ac:dyDescent="0.25">
      <c r="A140" t="s">
        <v>24</v>
      </c>
      <c r="B140">
        <v>7</v>
      </c>
      <c r="C140">
        <v>52.63</v>
      </c>
      <c r="D140">
        <v>52.63</v>
      </c>
      <c r="E140">
        <v>0</v>
      </c>
      <c r="F140">
        <v>21</v>
      </c>
      <c r="G140">
        <v>1105.23</v>
      </c>
      <c r="H140" t="b">
        <v>0</v>
      </c>
      <c r="I140" t="s">
        <v>18</v>
      </c>
      <c r="J140">
        <v>21</v>
      </c>
    </row>
    <row r="141" spans="1:10" x14ac:dyDescent="0.25">
      <c r="A141" t="s">
        <v>24</v>
      </c>
      <c r="B141">
        <v>8</v>
      </c>
      <c r="C141">
        <v>52.63</v>
      </c>
      <c r="D141">
        <v>52.63</v>
      </c>
      <c r="E141">
        <v>0</v>
      </c>
      <c r="F141">
        <v>19</v>
      </c>
      <c r="G141">
        <v>999.97</v>
      </c>
      <c r="H141" t="b">
        <v>0</v>
      </c>
      <c r="I141" t="s">
        <v>18</v>
      </c>
      <c r="J141">
        <v>19</v>
      </c>
    </row>
    <row r="142" spans="1:10" x14ac:dyDescent="0.25">
      <c r="A142" t="s">
        <v>24</v>
      </c>
      <c r="B142">
        <v>9</v>
      </c>
      <c r="C142">
        <v>52.63</v>
      </c>
      <c r="D142">
        <v>52.63</v>
      </c>
      <c r="E142">
        <v>0</v>
      </c>
      <c r="F142">
        <v>18</v>
      </c>
      <c r="G142">
        <v>947.34</v>
      </c>
      <c r="H142" t="b">
        <v>0</v>
      </c>
      <c r="I142" t="s">
        <v>18</v>
      </c>
      <c r="J142">
        <v>18</v>
      </c>
    </row>
    <row r="143" spans="1:10" x14ac:dyDescent="0.25">
      <c r="A143" t="s">
        <v>24</v>
      </c>
      <c r="B143">
        <v>10</v>
      </c>
      <c r="C143">
        <v>52.63</v>
      </c>
      <c r="D143">
        <v>52.63</v>
      </c>
      <c r="E143">
        <v>0</v>
      </c>
      <c r="F143">
        <v>18</v>
      </c>
      <c r="G143">
        <v>947.34</v>
      </c>
      <c r="H143" t="b">
        <v>0</v>
      </c>
      <c r="I143" t="s">
        <v>18</v>
      </c>
      <c r="J143">
        <v>18</v>
      </c>
    </row>
    <row r="144" spans="1:10" x14ac:dyDescent="0.25">
      <c r="A144" t="s">
        <v>24</v>
      </c>
      <c r="B144">
        <v>11</v>
      </c>
      <c r="C144">
        <v>52.63</v>
      </c>
      <c r="D144">
        <v>52.63</v>
      </c>
      <c r="E144">
        <v>0</v>
      </c>
      <c r="F144">
        <v>18</v>
      </c>
      <c r="G144">
        <v>947.34</v>
      </c>
      <c r="H144" t="b">
        <v>0</v>
      </c>
      <c r="I144" t="s">
        <v>18</v>
      </c>
      <c r="J144">
        <v>18</v>
      </c>
    </row>
    <row r="145" spans="1:10" x14ac:dyDescent="0.25">
      <c r="A145" t="s">
        <v>24</v>
      </c>
      <c r="B145">
        <v>12</v>
      </c>
      <c r="C145">
        <v>52.63</v>
      </c>
      <c r="D145">
        <v>52.63</v>
      </c>
      <c r="E145">
        <v>0</v>
      </c>
      <c r="F145">
        <v>13</v>
      </c>
      <c r="G145">
        <v>684.19</v>
      </c>
      <c r="H145" t="b">
        <v>0</v>
      </c>
      <c r="I145" t="s">
        <v>18</v>
      </c>
      <c r="J145">
        <v>13</v>
      </c>
    </row>
    <row r="146" spans="1:10" x14ac:dyDescent="0.25">
      <c r="A146" t="s">
        <v>25</v>
      </c>
      <c r="B146">
        <v>1</v>
      </c>
      <c r="C146">
        <v>55.99</v>
      </c>
      <c r="D146">
        <v>55.99</v>
      </c>
      <c r="E146">
        <v>0</v>
      </c>
      <c r="F146">
        <v>28</v>
      </c>
      <c r="G146">
        <v>1567.72</v>
      </c>
      <c r="H146" t="b">
        <v>0</v>
      </c>
      <c r="I146" t="s">
        <v>18</v>
      </c>
      <c r="J146">
        <v>28</v>
      </c>
    </row>
    <row r="147" spans="1:10" x14ac:dyDescent="0.25">
      <c r="A147" t="s">
        <v>25</v>
      </c>
      <c r="B147">
        <v>2</v>
      </c>
      <c r="C147">
        <v>55.99</v>
      </c>
      <c r="D147">
        <v>55.99</v>
      </c>
      <c r="E147">
        <v>0</v>
      </c>
      <c r="F147">
        <v>32</v>
      </c>
      <c r="G147">
        <v>1791.68</v>
      </c>
      <c r="H147" t="b">
        <v>0</v>
      </c>
      <c r="I147" t="s">
        <v>18</v>
      </c>
      <c r="J147">
        <v>32</v>
      </c>
    </row>
    <row r="148" spans="1:10" x14ac:dyDescent="0.25">
      <c r="A148" t="s">
        <v>25</v>
      </c>
      <c r="B148">
        <v>3</v>
      </c>
      <c r="C148">
        <v>55.99</v>
      </c>
      <c r="D148">
        <v>55.99</v>
      </c>
      <c r="E148">
        <v>0</v>
      </c>
      <c r="F148">
        <v>22</v>
      </c>
      <c r="G148">
        <v>1231.78</v>
      </c>
      <c r="H148" t="b">
        <v>0</v>
      </c>
      <c r="I148" t="s">
        <v>18</v>
      </c>
      <c r="J148">
        <v>22</v>
      </c>
    </row>
    <row r="149" spans="1:10" x14ac:dyDescent="0.25">
      <c r="A149" t="s">
        <v>25</v>
      </c>
      <c r="B149">
        <v>4</v>
      </c>
      <c r="C149">
        <v>55.99</v>
      </c>
      <c r="D149">
        <v>55.99</v>
      </c>
      <c r="E149">
        <v>0</v>
      </c>
      <c r="F149">
        <v>25</v>
      </c>
      <c r="G149">
        <v>1399.75</v>
      </c>
      <c r="H149" t="b">
        <v>1</v>
      </c>
      <c r="I149" t="s">
        <v>18</v>
      </c>
      <c r="J149">
        <v>25</v>
      </c>
    </row>
    <row r="150" spans="1:10" x14ac:dyDescent="0.25">
      <c r="A150" t="s">
        <v>25</v>
      </c>
      <c r="B150">
        <v>5</v>
      </c>
      <c r="C150">
        <v>55.99</v>
      </c>
      <c r="D150">
        <v>55.99</v>
      </c>
      <c r="E150">
        <v>0</v>
      </c>
      <c r="F150">
        <v>22</v>
      </c>
      <c r="G150">
        <v>1231.78</v>
      </c>
      <c r="H150" t="b">
        <v>1</v>
      </c>
      <c r="I150" t="s">
        <v>18</v>
      </c>
      <c r="J150">
        <v>22</v>
      </c>
    </row>
    <row r="151" spans="1:10" x14ac:dyDescent="0.25">
      <c r="A151" t="s">
        <v>25</v>
      </c>
      <c r="B151">
        <v>6</v>
      </c>
      <c r="C151">
        <v>55.99</v>
      </c>
      <c r="D151">
        <v>55.99</v>
      </c>
      <c r="E151">
        <v>0</v>
      </c>
      <c r="F151">
        <v>21</v>
      </c>
      <c r="G151">
        <v>1175.79</v>
      </c>
      <c r="H151" t="b">
        <v>0</v>
      </c>
      <c r="I151" t="s">
        <v>18</v>
      </c>
      <c r="J151">
        <v>21</v>
      </c>
    </row>
    <row r="152" spans="1:10" x14ac:dyDescent="0.25">
      <c r="A152" t="s">
        <v>25</v>
      </c>
      <c r="B152">
        <v>7</v>
      </c>
      <c r="C152">
        <v>55.99</v>
      </c>
      <c r="D152">
        <v>55.99</v>
      </c>
      <c r="E152">
        <v>0</v>
      </c>
      <c r="F152">
        <v>22</v>
      </c>
      <c r="G152">
        <v>1231.78</v>
      </c>
      <c r="H152" t="b">
        <v>0</v>
      </c>
      <c r="I152" t="s">
        <v>18</v>
      </c>
      <c r="J152">
        <v>22</v>
      </c>
    </row>
    <row r="153" spans="1:10" x14ac:dyDescent="0.25">
      <c r="A153" t="s">
        <v>25</v>
      </c>
      <c r="B153">
        <v>8</v>
      </c>
      <c r="C153">
        <v>55.99</v>
      </c>
      <c r="D153">
        <v>55.99</v>
      </c>
      <c r="E153">
        <v>0</v>
      </c>
      <c r="F153">
        <v>25</v>
      </c>
      <c r="G153">
        <v>1399.75</v>
      </c>
      <c r="H153" t="b">
        <v>0</v>
      </c>
      <c r="I153" t="s">
        <v>18</v>
      </c>
      <c r="J153">
        <v>25</v>
      </c>
    </row>
    <row r="154" spans="1:10" x14ac:dyDescent="0.25">
      <c r="A154" t="s">
        <v>25</v>
      </c>
      <c r="B154">
        <v>9</v>
      </c>
      <c r="C154">
        <v>55.99</v>
      </c>
      <c r="D154">
        <v>55.99</v>
      </c>
      <c r="E154">
        <v>0</v>
      </c>
      <c r="F154">
        <v>19</v>
      </c>
      <c r="G154">
        <v>1063.81</v>
      </c>
      <c r="H154" t="b">
        <v>0</v>
      </c>
      <c r="I154" t="s">
        <v>18</v>
      </c>
      <c r="J154">
        <v>19</v>
      </c>
    </row>
    <row r="155" spans="1:10" x14ac:dyDescent="0.25">
      <c r="A155" t="s">
        <v>25</v>
      </c>
      <c r="B155">
        <v>10</v>
      </c>
      <c r="C155">
        <v>55.99</v>
      </c>
      <c r="D155">
        <v>55.99</v>
      </c>
      <c r="E155">
        <v>0</v>
      </c>
      <c r="F155">
        <v>17</v>
      </c>
      <c r="G155">
        <v>951.83</v>
      </c>
      <c r="H155" t="b">
        <v>0</v>
      </c>
      <c r="I155" t="s">
        <v>18</v>
      </c>
      <c r="J155">
        <v>17</v>
      </c>
    </row>
    <row r="156" spans="1:10" x14ac:dyDescent="0.25">
      <c r="A156" t="s">
        <v>25</v>
      </c>
      <c r="B156">
        <v>11</v>
      </c>
      <c r="C156">
        <v>55.99</v>
      </c>
      <c r="D156">
        <v>55.99</v>
      </c>
      <c r="E156">
        <v>0</v>
      </c>
      <c r="F156">
        <v>19</v>
      </c>
      <c r="G156">
        <v>1063.81</v>
      </c>
      <c r="H156" t="b">
        <v>0</v>
      </c>
      <c r="I156" t="s">
        <v>18</v>
      </c>
      <c r="J156">
        <v>19</v>
      </c>
    </row>
    <row r="157" spans="1:10" x14ac:dyDescent="0.25">
      <c r="A157" t="s">
        <v>25</v>
      </c>
      <c r="B157">
        <v>12</v>
      </c>
      <c r="C157">
        <v>55.99</v>
      </c>
      <c r="D157">
        <v>55.99</v>
      </c>
      <c r="E157">
        <v>0</v>
      </c>
      <c r="F157">
        <v>14</v>
      </c>
      <c r="G157">
        <v>783.86</v>
      </c>
      <c r="H157" t="b">
        <v>0</v>
      </c>
      <c r="I157" t="s">
        <v>18</v>
      </c>
      <c r="J157">
        <v>14</v>
      </c>
    </row>
    <row r="158" spans="1:10" x14ac:dyDescent="0.25">
      <c r="A158" t="s">
        <v>26</v>
      </c>
      <c r="B158">
        <v>1</v>
      </c>
      <c r="C158">
        <v>37.33</v>
      </c>
      <c r="D158">
        <v>37.33</v>
      </c>
      <c r="E158">
        <v>0</v>
      </c>
      <c r="F158">
        <v>32</v>
      </c>
      <c r="G158">
        <v>1194.56</v>
      </c>
      <c r="H158" t="b">
        <v>0</v>
      </c>
      <c r="I158" t="s">
        <v>18</v>
      </c>
      <c r="J158">
        <v>32</v>
      </c>
    </row>
    <row r="159" spans="1:10" x14ac:dyDescent="0.25">
      <c r="A159" t="s">
        <v>26</v>
      </c>
      <c r="B159">
        <v>2</v>
      </c>
      <c r="C159">
        <v>37.33</v>
      </c>
      <c r="D159">
        <v>37.33</v>
      </c>
      <c r="E159">
        <v>0</v>
      </c>
      <c r="F159">
        <v>28</v>
      </c>
      <c r="G159">
        <v>1045.24</v>
      </c>
      <c r="H159" t="b">
        <v>0</v>
      </c>
      <c r="I159" t="s">
        <v>18</v>
      </c>
      <c r="J159">
        <v>28</v>
      </c>
    </row>
    <row r="160" spans="1:10" x14ac:dyDescent="0.25">
      <c r="A160" t="s">
        <v>26</v>
      </c>
      <c r="B160">
        <v>3</v>
      </c>
      <c r="C160">
        <v>37.33</v>
      </c>
      <c r="D160">
        <v>37.33</v>
      </c>
      <c r="E160">
        <v>0</v>
      </c>
      <c r="F160">
        <v>28</v>
      </c>
      <c r="G160">
        <v>1045.24</v>
      </c>
      <c r="H160" t="b">
        <v>0</v>
      </c>
      <c r="I160" t="s">
        <v>18</v>
      </c>
      <c r="J160">
        <v>28</v>
      </c>
    </row>
    <row r="161" spans="1:10" x14ac:dyDescent="0.25">
      <c r="A161" t="s">
        <v>26</v>
      </c>
      <c r="B161">
        <v>4</v>
      </c>
      <c r="C161">
        <v>37.33</v>
      </c>
      <c r="D161">
        <v>37.33</v>
      </c>
      <c r="E161">
        <v>0</v>
      </c>
      <c r="F161">
        <v>26</v>
      </c>
      <c r="G161">
        <v>970.58</v>
      </c>
      <c r="H161" t="b">
        <v>1</v>
      </c>
      <c r="I161" t="s">
        <v>18</v>
      </c>
      <c r="J161">
        <v>26</v>
      </c>
    </row>
    <row r="162" spans="1:10" x14ac:dyDescent="0.25">
      <c r="A162" t="s">
        <v>26</v>
      </c>
      <c r="B162">
        <v>5</v>
      </c>
      <c r="C162">
        <v>37.33</v>
      </c>
      <c r="D162">
        <v>37.33</v>
      </c>
      <c r="E162">
        <v>0</v>
      </c>
      <c r="F162">
        <v>29</v>
      </c>
      <c r="G162">
        <v>1082.57</v>
      </c>
      <c r="H162" t="b">
        <v>1</v>
      </c>
      <c r="I162" t="s">
        <v>18</v>
      </c>
      <c r="J162">
        <v>29</v>
      </c>
    </row>
    <row r="163" spans="1:10" x14ac:dyDescent="0.25">
      <c r="A163" t="s">
        <v>26</v>
      </c>
      <c r="B163">
        <v>6</v>
      </c>
      <c r="C163">
        <v>37.33</v>
      </c>
      <c r="D163">
        <v>37.33</v>
      </c>
      <c r="E163">
        <v>0</v>
      </c>
      <c r="F163">
        <v>21</v>
      </c>
      <c r="G163">
        <v>783.93</v>
      </c>
      <c r="H163" t="b">
        <v>0</v>
      </c>
      <c r="I163" t="s">
        <v>18</v>
      </c>
      <c r="J163">
        <v>21</v>
      </c>
    </row>
    <row r="164" spans="1:10" x14ac:dyDescent="0.25">
      <c r="A164" t="s">
        <v>26</v>
      </c>
      <c r="B164">
        <v>7</v>
      </c>
      <c r="C164">
        <v>37.33</v>
      </c>
      <c r="D164">
        <v>37.33</v>
      </c>
      <c r="E164">
        <v>0</v>
      </c>
      <c r="F164">
        <v>22</v>
      </c>
      <c r="G164">
        <v>821.26</v>
      </c>
      <c r="H164" t="b">
        <v>0</v>
      </c>
      <c r="I164" t="s">
        <v>18</v>
      </c>
      <c r="J164">
        <v>22</v>
      </c>
    </row>
    <row r="165" spans="1:10" x14ac:dyDescent="0.25">
      <c r="A165" t="s">
        <v>26</v>
      </c>
      <c r="B165">
        <v>8</v>
      </c>
      <c r="C165">
        <v>37.33</v>
      </c>
      <c r="D165">
        <v>37.33</v>
      </c>
      <c r="E165">
        <v>0</v>
      </c>
      <c r="F165">
        <v>20</v>
      </c>
      <c r="G165">
        <v>746.6</v>
      </c>
      <c r="H165" t="b">
        <v>0</v>
      </c>
      <c r="I165" t="s">
        <v>18</v>
      </c>
      <c r="J165">
        <v>20</v>
      </c>
    </row>
    <row r="166" spans="1:10" x14ac:dyDescent="0.25">
      <c r="A166" t="s">
        <v>26</v>
      </c>
      <c r="B166">
        <v>9</v>
      </c>
      <c r="C166">
        <v>37.33</v>
      </c>
      <c r="D166">
        <v>37.33</v>
      </c>
      <c r="E166">
        <v>0</v>
      </c>
      <c r="F166">
        <v>23</v>
      </c>
      <c r="G166">
        <v>858.59</v>
      </c>
      <c r="H166" t="b">
        <v>0</v>
      </c>
      <c r="I166" t="s">
        <v>18</v>
      </c>
      <c r="J166">
        <v>23</v>
      </c>
    </row>
    <row r="167" spans="1:10" x14ac:dyDescent="0.25">
      <c r="A167" t="s">
        <v>26</v>
      </c>
      <c r="B167">
        <v>10</v>
      </c>
      <c r="C167">
        <v>37.33</v>
      </c>
      <c r="D167">
        <v>37.33</v>
      </c>
      <c r="E167">
        <v>0</v>
      </c>
      <c r="F167">
        <v>19</v>
      </c>
      <c r="G167">
        <v>709.27</v>
      </c>
      <c r="H167" t="b">
        <v>0</v>
      </c>
      <c r="I167" t="s">
        <v>18</v>
      </c>
      <c r="J167">
        <v>19</v>
      </c>
    </row>
    <row r="168" spans="1:10" x14ac:dyDescent="0.25">
      <c r="A168" t="s">
        <v>26</v>
      </c>
      <c r="B168">
        <v>11</v>
      </c>
      <c r="C168">
        <v>37.33</v>
      </c>
      <c r="D168">
        <v>37.33</v>
      </c>
      <c r="E168">
        <v>0</v>
      </c>
      <c r="F168">
        <v>20</v>
      </c>
      <c r="G168">
        <v>746.6</v>
      </c>
      <c r="H168" t="b">
        <v>0</v>
      </c>
      <c r="I168" t="s">
        <v>18</v>
      </c>
      <c r="J168">
        <v>20</v>
      </c>
    </row>
    <row r="169" spans="1:10" x14ac:dyDescent="0.25">
      <c r="A169" t="s">
        <v>26</v>
      </c>
      <c r="B169">
        <v>12</v>
      </c>
      <c r="C169">
        <v>37.33</v>
      </c>
      <c r="D169">
        <v>37.33</v>
      </c>
      <c r="E169">
        <v>0</v>
      </c>
      <c r="F169">
        <v>15</v>
      </c>
      <c r="G169">
        <v>559.95000000000005</v>
      </c>
      <c r="H169" t="b">
        <v>0</v>
      </c>
      <c r="I169" t="s">
        <v>18</v>
      </c>
      <c r="J169">
        <v>15</v>
      </c>
    </row>
    <row r="170" spans="1:10" x14ac:dyDescent="0.25">
      <c r="A170" t="s">
        <v>27</v>
      </c>
      <c r="B170">
        <v>1</v>
      </c>
      <c r="C170">
        <v>68.44</v>
      </c>
      <c r="D170">
        <v>68.44</v>
      </c>
      <c r="E170">
        <v>0</v>
      </c>
      <c r="F170">
        <v>6</v>
      </c>
      <c r="G170">
        <v>410.64</v>
      </c>
      <c r="H170" t="b">
        <v>0</v>
      </c>
      <c r="I170" t="s">
        <v>18</v>
      </c>
      <c r="J170">
        <v>6</v>
      </c>
    </row>
    <row r="171" spans="1:10" x14ac:dyDescent="0.25">
      <c r="A171" t="s">
        <v>27</v>
      </c>
      <c r="B171">
        <v>2</v>
      </c>
      <c r="C171">
        <v>68.44</v>
      </c>
      <c r="D171">
        <v>68.44</v>
      </c>
      <c r="E171">
        <v>0</v>
      </c>
      <c r="F171">
        <v>6</v>
      </c>
      <c r="G171">
        <v>410.64</v>
      </c>
      <c r="H171" t="b">
        <v>0</v>
      </c>
      <c r="I171" t="s">
        <v>18</v>
      </c>
      <c r="J171">
        <v>6</v>
      </c>
    </row>
    <row r="172" spans="1:10" x14ac:dyDescent="0.25">
      <c r="A172" t="s">
        <v>27</v>
      </c>
      <c r="B172">
        <v>3</v>
      </c>
      <c r="C172">
        <v>68.44</v>
      </c>
      <c r="D172">
        <v>68.44</v>
      </c>
      <c r="E172">
        <v>0</v>
      </c>
      <c r="F172">
        <v>5</v>
      </c>
      <c r="G172">
        <v>342.2</v>
      </c>
      <c r="H172" t="b">
        <v>0</v>
      </c>
      <c r="I172" t="s">
        <v>18</v>
      </c>
      <c r="J172">
        <v>5</v>
      </c>
    </row>
    <row r="173" spans="1:10" x14ac:dyDescent="0.25">
      <c r="A173" t="s">
        <v>27</v>
      </c>
      <c r="B173">
        <v>4</v>
      </c>
      <c r="C173">
        <v>68.44</v>
      </c>
      <c r="D173">
        <v>68.44</v>
      </c>
      <c r="E173">
        <v>0</v>
      </c>
      <c r="F173">
        <v>5</v>
      </c>
      <c r="G173">
        <v>342.2</v>
      </c>
      <c r="H173" t="b">
        <v>1</v>
      </c>
      <c r="I173" t="s">
        <v>18</v>
      </c>
      <c r="J173">
        <v>5</v>
      </c>
    </row>
    <row r="174" spans="1:10" x14ac:dyDescent="0.25">
      <c r="A174" t="s">
        <v>27</v>
      </c>
      <c r="B174">
        <v>5</v>
      </c>
      <c r="C174">
        <v>68.44</v>
      </c>
      <c r="D174">
        <v>68.44</v>
      </c>
      <c r="E174">
        <v>0</v>
      </c>
      <c r="F174">
        <v>5</v>
      </c>
      <c r="G174">
        <v>342.2</v>
      </c>
      <c r="H174" t="b">
        <v>1</v>
      </c>
      <c r="I174" t="s">
        <v>18</v>
      </c>
      <c r="J174">
        <v>5</v>
      </c>
    </row>
    <row r="175" spans="1:10" x14ac:dyDescent="0.25">
      <c r="A175" t="s">
        <v>27</v>
      </c>
      <c r="B175">
        <v>6</v>
      </c>
      <c r="C175">
        <v>68.44</v>
      </c>
      <c r="D175">
        <v>68.44</v>
      </c>
      <c r="E175">
        <v>0</v>
      </c>
      <c r="F175">
        <v>5</v>
      </c>
      <c r="G175">
        <v>342.2</v>
      </c>
      <c r="H175" t="b">
        <v>0</v>
      </c>
      <c r="I175" t="s">
        <v>18</v>
      </c>
      <c r="J175">
        <v>5</v>
      </c>
    </row>
    <row r="176" spans="1:10" x14ac:dyDescent="0.25">
      <c r="A176" t="s">
        <v>27</v>
      </c>
      <c r="B176">
        <v>7</v>
      </c>
      <c r="C176">
        <v>68.44</v>
      </c>
      <c r="D176">
        <v>68.44</v>
      </c>
      <c r="E176">
        <v>0</v>
      </c>
      <c r="F176">
        <v>5</v>
      </c>
      <c r="G176">
        <v>342.2</v>
      </c>
      <c r="H176" t="b">
        <v>0</v>
      </c>
      <c r="I176" t="s">
        <v>18</v>
      </c>
      <c r="J176">
        <v>5</v>
      </c>
    </row>
    <row r="177" spans="1:10" x14ac:dyDescent="0.25">
      <c r="A177" t="s">
        <v>27</v>
      </c>
      <c r="B177">
        <v>8</v>
      </c>
      <c r="C177">
        <v>68.44</v>
      </c>
      <c r="D177">
        <v>68.44</v>
      </c>
      <c r="E177">
        <v>0</v>
      </c>
      <c r="F177">
        <v>5</v>
      </c>
      <c r="G177">
        <v>342.2</v>
      </c>
      <c r="H177" t="b">
        <v>0</v>
      </c>
      <c r="I177" t="s">
        <v>18</v>
      </c>
      <c r="J177">
        <v>5</v>
      </c>
    </row>
    <row r="178" spans="1:10" x14ac:dyDescent="0.25">
      <c r="A178" t="s">
        <v>27</v>
      </c>
      <c r="B178">
        <v>9</v>
      </c>
      <c r="C178">
        <v>68.44</v>
      </c>
      <c r="D178">
        <v>68.44</v>
      </c>
      <c r="E178">
        <v>0</v>
      </c>
      <c r="F178">
        <v>4</v>
      </c>
      <c r="G178">
        <v>273.76</v>
      </c>
      <c r="H178" t="b">
        <v>0</v>
      </c>
      <c r="I178" t="s">
        <v>18</v>
      </c>
      <c r="J178">
        <v>4</v>
      </c>
    </row>
    <row r="179" spans="1:10" x14ac:dyDescent="0.25">
      <c r="A179" t="s">
        <v>27</v>
      </c>
      <c r="B179">
        <v>10</v>
      </c>
      <c r="C179">
        <v>68.44</v>
      </c>
      <c r="D179">
        <v>68.44</v>
      </c>
      <c r="E179">
        <v>0</v>
      </c>
      <c r="F179">
        <v>5</v>
      </c>
      <c r="G179">
        <v>342.2</v>
      </c>
      <c r="H179" t="b">
        <v>0</v>
      </c>
      <c r="I179" t="s">
        <v>18</v>
      </c>
      <c r="J179">
        <v>5</v>
      </c>
    </row>
    <row r="180" spans="1:10" x14ac:dyDescent="0.25">
      <c r="A180" t="s">
        <v>27</v>
      </c>
      <c r="B180">
        <v>11</v>
      </c>
      <c r="C180">
        <v>68.44</v>
      </c>
      <c r="D180">
        <v>68.44</v>
      </c>
      <c r="E180">
        <v>0</v>
      </c>
      <c r="F180">
        <v>5</v>
      </c>
      <c r="G180">
        <v>342.2</v>
      </c>
      <c r="H180" t="b">
        <v>0</v>
      </c>
      <c r="I180" t="s">
        <v>18</v>
      </c>
      <c r="J180">
        <v>5</v>
      </c>
    </row>
    <row r="181" spans="1:10" x14ac:dyDescent="0.25">
      <c r="A181" t="s">
        <v>27</v>
      </c>
      <c r="B181">
        <v>12</v>
      </c>
      <c r="C181">
        <v>68.44</v>
      </c>
      <c r="D181">
        <v>68.44</v>
      </c>
      <c r="E181">
        <v>0</v>
      </c>
      <c r="F181">
        <v>3</v>
      </c>
      <c r="G181">
        <v>205.32</v>
      </c>
      <c r="H181" t="b">
        <v>0</v>
      </c>
      <c r="I181" t="s">
        <v>18</v>
      </c>
      <c r="J181">
        <v>3</v>
      </c>
    </row>
    <row r="182" spans="1:10" x14ac:dyDescent="0.25">
      <c r="A182" t="s">
        <v>28</v>
      </c>
      <c r="B182">
        <v>1</v>
      </c>
      <c r="C182">
        <v>45.87</v>
      </c>
      <c r="D182">
        <v>45.87</v>
      </c>
      <c r="E182">
        <v>0</v>
      </c>
      <c r="F182">
        <v>19</v>
      </c>
      <c r="G182">
        <v>871.53</v>
      </c>
      <c r="H182" t="b">
        <v>0</v>
      </c>
      <c r="I182" t="s">
        <v>18</v>
      </c>
      <c r="J182">
        <v>19</v>
      </c>
    </row>
    <row r="183" spans="1:10" x14ac:dyDescent="0.25">
      <c r="A183" t="s">
        <v>28</v>
      </c>
      <c r="B183">
        <v>2</v>
      </c>
      <c r="C183">
        <v>45.87</v>
      </c>
      <c r="D183">
        <v>45.87</v>
      </c>
      <c r="E183">
        <v>0</v>
      </c>
      <c r="F183">
        <v>17</v>
      </c>
      <c r="G183">
        <v>779.79</v>
      </c>
      <c r="H183" t="b">
        <v>0</v>
      </c>
      <c r="I183" t="s">
        <v>18</v>
      </c>
      <c r="J183">
        <v>17</v>
      </c>
    </row>
    <row r="184" spans="1:10" x14ac:dyDescent="0.25">
      <c r="A184" t="s">
        <v>28</v>
      </c>
      <c r="B184">
        <v>3</v>
      </c>
      <c r="C184">
        <v>45.87</v>
      </c>
      <c r="D184">
        <v>45.87</v>
      </c>
      <c r="E184">
        <v>0</v>
      </c>
      <c r="F184">
        <v>17</v>
      </c>
      <c r="G184">
        <v>779.79</v>
      </c>
      <c r="H184" t="b">
        <v>0</v>
      </c>
      <c r="I184" t="s">
        <v>18</v>
      </c>
      <c r="J184">
        <v>17</v>
      </c>
    </row>
    <row r="185" spans="1:10" x14ac:dyDescent="0.25">
      <c r="A185" t="s">
        <v>28</v>
      </c>
      <c r="B185">
        <v>4</v>
      </c>
      <c r="C185">
        <v>45.87</v>
      </c>
      <c r="D185">
        <v>45.87</v>
      </c>
      <c r="E185">
        <v>0</v>
      </c>
      <c r="F185">
        <v>15</v>
      </c>
      <c r="G185">
        <v>688.05</v>
      </c>
      <c r="H185" t="b">
        <v>1</v>
      </c>
      <c r="I185" t="s">
        <v>18</v>
      </c>
      <c r="J185">
        <v>15</v>
      </c>
    </row>
    <row r="186" spans="1:10" x14ac:dyDescent="0.25">
      <c r="A186" t="s">
        <v>28</v>
      </c>
      <c r="B186">
        <v>5</v>
      </c>
      <c r="C186">
        <v>45.87</v>
      </c>
      <c r="D186">
        <v>45.87</v>
      </c>
      <c r="E186">
        <v>0</v>
      </c>
      <c r="F186">
        <v>15</v>
      </c>
      <c r="G186">
        <v>688.05</v>
      </c>
      <c r="H186" t="b">
        <v>1</v>
      </c>
      <c r="I186" t="s">
        <v>18</v>
      </c>
      <c r="J186">
        <v>15</v>
      </c>
    </row>
    <row r="187" spans="1:10" x14ac:dyDescent="0.25">
      <c r="A187" t="s">
        <v>28</v>
      </c>
      <c r="B187">
        <v>6</v>
      </c>
      <c r="C187">
        <v>45.87</v>
      </c>
      <c r="D187">
        <v>45.87</v>
      </c>
      <c r="E187">
        <v>0</v>
      </c>
      <c r="F187">
        <v>15</v>
      </c>
      <c r="G187">
        <v>688.05</v>
      </c>
      <c r="H187" t="b">
        <v>0</v>
      </c>
      <c r="I187" t="s">
        <v>18</v>
      </c>
      <c r="J187">
        <v>15</v>
      </c>
    </row>
    <row r="188" spans="1:10" x14ac:dyDescent="0.25">
      <c r="A188" t="s">
        <v>28</v>
      </c>
      <c r="B188">
        <v>7</v>
      </c>
      <c r="C188">
        <v>45.87</v>
      </c>
      <c r="D188">
        <v>45.87</v>
      </c>
      <c r="E188">
        <v>0</v>
      </c>
      <c r="F188">
        <v>14</v>
      </c>
      <c r="G188">
        <v>642.17999999999995</v>
      </c>
      <c r="H188" t="b">
        <v>0</v>
      </c>
      <c r="I188" t="s">
        <v>18</v>
      </c>
      <c r="J188">
        <v>14</v>
      </c>
    </row>
    <row r="189" spans="1:10" x14ac:dyDescent="0.25">
      <c r="A189" t="s">
        <v>28</v>
      </c>
      <c r="B189">
        <v>8</v>
      </c>
      <c r="C189">
        <v>45.87</v>
      </c>
      <c r="D189">
        <v>45.87</v>
      </c>
      <c r="E189">
        <v>0</v>
      </c>
      <c r="F189">
        <v>14</v>
      </c>
      <c r="G189">
        <v>642.17999999999995</v>
      </c>
      <c r="H189" t="b">
        <v>0</v>
      </c>
      <c r="I189" t="s">
        <v>18</v>
      </c>
      <c r="J189">
        <v>14</v>
      </c>
    </row>
    <row r="190" spans="1:10" x14ac:dyDescent="0.25">
      <c r="A190" t="s">
        <v>28</v>
      </c>
      <c r="B190">
        <v>9</v>
      </c>
      <c r="C190">
        <v>45.87</v>
      </c>
      <c r="D190">
        <v>45.87</v>
      </c>
      <c r="E190">
        <v>0</v>
      </c>
      <c r="F190">
        <v>11</v>
      </c>
      <c r="G190">
        <v>504.57</v>
      </c>
      <c r="H190" t="b">
        <v>0</v>
      </c>
      <c r="I190" t="s">
        <v>18</v>
      </c>
      <c r="J190">
        <v>11</v>
      </c>
    </row>
    <row r="191" spans="1:10" x14ac:dyDescent="0.25">
      <c r="A191" t="s">
        <v>28</v>
      </c>
      <c r="B191">
        <v>10</v>
      </c>
      <c r="C191">
        <v>45.87</v>
      </c>
      <c r="D191">
        <v>45.87</v>
      </c>
      <c r="E191">
        <v>0</v>
      </c>
      <c r="F191">
        <v>12</v>
      </c>
      <c r="G191">
        <v>550.44000000000005</v>
      </c>
      <c r="H191" t="b">
        <v>0</v>
      </c>
      <c r="I191" t="s">
        <v>18</v>
      </c>
      <c r="J191">
        <v>12</v>
      </c>
    </row>
    <row r="192" spans="1:10" x14ac:dyDescent="0.25">
      <c r="A192" t="s">
        <v>28</v>
      </c>
      <c r="B192">
        <v>11</v>
      </c>
      <c r="C192">
        <v>45.87</v>
      </c>
      <c r="D192">
        <v>45.87</v>
      </c>
      <c r="E192">
        <v>0</v>
      </c>
      <c r="F192">
        <v>12</v>
      </c>
      <c r="G192">
        <v>550.44000000000005</v>
      </c>
      <c r="H192" t="b">
        <v>0</v>
      </c>
      <c r="I192" t="s">
        <v>18</v>
      </c>
      <c r="J192">
        <v>12</v>
      </c>
    </row>
    <row r="193" spans="1:10" x14ac:dyDescent="0.25">
      <c r="A193" t="s">
        <v>28</v>
      </c>
      <c r="B193">
        <v>12</v>
      </c>
      <c r="C193">
        <v>45.87</v>
      </c>
      <c r="D193">
        <v>45.87</v>
      </c>
      <c r="E193">
        <v>0</v>
      </c>
      <c r="F193">
        <v>8</v>
      </c>
      <c r="G193">
        <v>366.96</v>
      </c>
      <c r="H193" t="b">
        <v>0</v>
      </c>
      <c r="I193" t="s">
        <v>18</v>
      </c>
      <c r="J193">
        <v>8</v>
      </c>
    </row>
    <row r="194" spans="1:10" x14ac:dyDescent="0.25">
      <c r="A194" t="s">
        <v>29</v>
      </c>
      <c r="B194">
        <v>1</v>
      </c>
      <c r="C194">
        <v>30.81</v>
      </c>
      <c r="D194">
        <v>30.81</v>
      </c>
      <c r="E194">
        <v>0</v>
      </c>
      <c r="F194">
        <v>6</v>
      </c>
      <c r="G194">
        <v>184.86</v>
      </c>
      <c r="H194" t="b">
        <v>0</v>
      </c>
      <c r="I194" t="s">
        <v>18</v>
      </c>
      <c r="J194">
        <v>6</v>
      </c>
    </row>
    <row r="195" spans="1:10" x14ac:dyDescent="0.25">
      <c r="A195" t="s">
        <v>29</v>
      </c>
      <c r="B195">
        <v>2</v>
      </c>
      <c r="C195">
        <v>30.81</v>
      </c>
      <c r="D195">
        <v>30.81</v>
      </c>
      <c r="E195">
        <v>0</v>
      </c>
      <c r="F195">
        <v>6</v>
      </c>
      <c r="G195">
        <v>184.86</v>
      </c>
      <c r="H195" t="b">
        <v>0</v>
      </c>
      <c r="I195" t="s">
        <v>18</v>
      </c>
      <c r="J195">
        <v>6</v>
      </c>
    </row>
    <row r="196" spans="1:10" x14ac:dyDescent="0.25">
      <c r="A196" t="s">
        <v>29</v>
      </c>
      <c r="B196">
        <v>3</v>
      </c>
      <c r="C196">
        <v>30.81</v>
      </c>
      <c r="D196">
        <v>30.81</v>
      </c>
      <c r="E196">
        <v>0</v>
      </c>
      <c r="F196">
        <v>7</v>
      </c>
      <c r="G196">
        <v>215.67</v>
      </c>
      <c r="H196" t="b">
        <v>0</v>
      </c>
      <c r="I196" t="s">
        <v>18</v>
      </c>
      <c r="J196">
        <v>7</v>
      </c>
    </row>
    <row r="197" spans="1:10" x14ac:dyDescent="0.25">
      <c r="A197" t="s">
        <v>29</v>
      </c>
      <c r="B197">
        <v>4</v>
      </c>
      <c r="C197">
        <v>30.81</v>
      </c>
      <c r="D197">
        <v>30.81</v>
      </c>
      <c r="E197">
        <v>0</v>
      </c>
      <c r="F197">
        <v>4</v>
      </c>
      <c r="G197">
        <v>123.24</v>
      </c>
      <c r="H197" t="b">
        <v>1</v>
      </c>
      <c r="I197" t="s">
        <v>18</v>
      </c>
      <c r="J197">
        <v>4</v>
      </c>
    </row>
    <row r="198" spans="1:10" x14ac:dyDescent="0.25">
      <c r="A198" t="s">
        <v>29</v>
      </c>
      <c r="B198">
        <v>5</v>
      </c>
      <c r="C198">
        <v>30.81</v>
      </c>
      <c r="D198">
        <v>30.81</v>
      </c>
      <c r="E198">
        <v>0</v>
      </c>
      <c r="F198">
        <v>5</v>
      </c>
      <c r="G198">
        <v>154.05000000000001</v>
      </c>
      <c r="H198" t="b">
        <v>1</v>
      </c>
      <c r="I198" t="s">
        <v>18</v>
      </c>
      <c r="J198">
        <v>5</v>
      </c>
    </row>
    <row r="199" spans="1:10" x14ac:dyDescent="0.25">
      <c r="A199" t="s">
        <v>29</v>
      </c>
      <c r="B199">
        <v>6</v>
      </c>
      <c r="C199">
        <v>30.81</v>
      </c>
      <c r="D199">
        <v>30.81</v>
      </c>
      <c r="E199">
        <v>0</v>
      </c>
      <c r="F199">
        <v>4</v>
      </c>
      <c r="G199">
        <v>123.24</v>
      </c>
      <c r="H199" t="b">
        <v>0</v>
      </c>
      <c r="I199" t="s">
        <v>18</v>
      </c>
      <c r="J199">
        <v>4</v>
      </c>
    </row>
    <row r="200" spans="1:10" x14ac:dyDescent="0.25">
      <c r="A200" t="s">
        <v>29</v>
      </c>
      <c r="B200">
        <v>7</v>
      </c>
      <c r="C200">
        <v>30.81</v>
      </c>
      <c r="D200">
        <v>30.81</v>
      </c>
      <c r="E200">
        <v>0</v>
      </c>
      <c r="F200">
        <v>5</v>
      </c>
      <c r="G200">
        <v>154.05000000000001</v>
      </c>
      <c r="H200" t="b">
        <v>0</v>
      </c>
      <c r="I200" t="s">
        <v>18</v>
      </c>
      <c r="J200">
        <v>5</v>
      </c>
    </row>
    <row r="201" spans="1:10" x14ac:dyDescent="0.25">
      <c r="A201" t="s">
        <v>29</v>
      </c>
      <c r="B201">
        <v>8</v>
      </c>
      <c r="C201">
        <v>30.81</v>
      </c>
      <c r="D201">
        <v>30.81</v>
      </c>
      <c r="E201">
        <v>0</v>
      </c>
      <c r="F201">
        <v>5</v>
      </c>
      <c r="G201">
        <v>154.05000000000001</v>
      </c>
      <c r="H201" t="b">
        <v>0</v>
      </c>
      <c r="I201" t="s">
        <v>18</v>
      </c>
      <c r="J201">
        <v>5</v>
      </c>
    </row>
    <row r="202" spans="1:10" x14ac:dyDescent="0.25">
      <c r="A202" t="s">
        <v>29</v>
      </c>
      <c r="B202">
        <v>9</v>
      </c>
      <c r="C202">
        <v>30.81</v>
      </c>
      <c r="D202">
        <v>30.81</v>
      </c>
      <c r="E202">
        <v>0</v>
      </c>
      <c r="F202">
        <v>5</v>
      </c>
      <c r="G202">
        <v>154.05000000000001</v>
      </c>
      <c r="H202" t="b">
        <v>0</v>
      </c>
      <c r="I202" t="s">
        <v>18</v>
      </c>
      <c r="J202">
        <v>5</v>
      </c>
    </row>
    <row r="203" spans="1:10" x14ac:dyDescent="0.25">
      <c r="A203" t="s">
        <v>29</v>
      </c>
      <c r="B203">
        <v>10</v>
      </c>
      <c r="C203">
        <v>30.81</v>
      </c>
      <c r="D203">
        <v>30.81</v>
      </c>
      <c r="E203">
        <v>0</v>
      </c>
      <c r="F203">
        <v>4</v>
      </c>
      <c r="G203">
        <v>123.24</v>
      </c>
      <c r="H203" t="b">
        <v>0</v>
      </c>
      <c r="I203" t="s">
        <v>18</v>
      </c>
      <c r="J203">
        <v>4</v>
      </c>
    </row>
    <row r="204" spans="1:10" x14ac:dyDescent="0.25">
      <c r="A204" t="s">
        <v>29</v>
      </c>
      <c r="B204">
        <v>11</v>
      </c>
      <c r="C204">
        <v>30.81</v>
      </c>
      <c r="D204">
        <v>30.81</v>
      </c>
      <c r="E204">
        <v>0</v>
      </c>
      <c r="F204">
        <v>4</v>
      </c>
      <c r="G204">
        <v>123.24</v>
      </c>
      <c r="H204" t="b">
        <v>0</v>
      </c>
      <c r="I204" t="s">
        <v>18</v>
      </c>
      <c r="J204">
        <v>4</v>
      </c>
    </row>
    <row r="205" spans="1:10" x14ac:dyDescent="0.25">
      <c r="A205" t="s">
        <v>29</v>
      </c>
      <c r="B205">
        <v>12</v>
      </c>
      <c r="C205">
        <v>30.81</v>
      </c>
      <c r="D205">
        <v>30.81</v>
      </c>
      <c r="E205">
        <v>0</v>
      </c>
      <c r="F205">
        <v>3</v>
      </c>
      <c r="G205">
        <v>92.43</v>
      </c>
      <c r="H205" t="b">
        <v>0</v>
      </c>
      <c r="I205" t="s">
        <v>18</v>
      </c>
      <c r="J205">
        <v>3</v>
      </c>
    </row>
    <row r="206" spans="1:10" x14ac:dyDescent="0.25">
      <c r="A206" t="s">
        <v>30</v>
      </c>
      <c r="B206">
        <v>1</v>
      </c>
      <c r="C206">
        <v>81.62</v>
      </c>
      <c r="D206">
        <v>81.62</v>
      </c>
      <c r="E206">
        <v>0</v>
      </c>
      <c r="F206">
        <v>10</v>
      </c>
      <c r="G206">
        <v>816.2</v>
      </c>
      <c r="H206" t="b">
        <v>0</v>
      </c>
      <c r="I206" t="s">
        <v>18</v>
      </c>
      <c r="J206">
        <v>10</v>
      </c>
    </row>
    <row r="207" spans="1:10" x14ac:dyDescent="0.25">
      <c r="A207" t="s">
        <v>30</v>
      </c>
      <c r="B207">
        <v>2</v>
      </c>
      <c r="C207">
        <v>81.62</v>
      </c>
      <c r="D207">
        <v>81.62</v>
      </c>
      <c r="E207">
        <v>0</v>
      </c>
      <c r="F207">
        <v>9</v>
      </c>
      <c r="G207">
        <v>734.58</v>
      </c>
      <c r="H207" t="b">
        <v>0</v>
      </c>
      <c r="I207" t="s">
        <v>18</v>
      </c>
      <c r="J207">
        <v>9</v>
      </c>
    </row>
    <row r="208" spans="1:10" x14ac:dyDescent="0.25">
      <c r="A208" t="s">
        <v>30</v>
      </c>
      <c r="B208">
        <v>3</v>
      </c>
      <c r="C208">
        <v>81.62</v>
      </c>
      <c r="D208">
        <v>81.62</v>
      </c>
      <c r="E208">
        <v>0</v>
      </c>
      <c r="F208">
        <v>9</v>
      </c>
      <c r="G208">
        <v>734.58</v>
      </c>
      <c r="H208" t="b">
        <v>0</v>
      </c>
      <c r="I208" t="s">
        <v>18</v>
      </c>
      <c r="J208">
        <v>9</v>
      </c>
    </row>
    <row r="209" spans="1:10" x14ac:dyDescent="0.25">
      <c r="A209" t="s">
        <v>30</v>
      </c>
      <c r="B209">
        <v>4</v>
      </c>
      <c r="C209">
        <v>81.62</v>
      </c>
      <c r="D209">
        <v>81.62</v>
      </c>
      <c r="E209">
        <v>0</v>
      </c>
      <c r="F209">
        <v>8</v>
      </c>
      <c r="G209">
        <v>652.96</v>
      </c>
      <c r="H209" t="b">
        <v>1</v>
      </c>
      <c r="I209" t="s">
        <v>18</v>
      </c>
      <c r="J209">
        <v>8</v>
      </c>
    </row>
    <row r="210" spans="1:10" x14ac:dyDescent="0.25">
      <c r="A210" t="s">
        <v>30</v>
      </c>
      <c r="B210">
        <v>5</v>
      </c>
      <c r="C210">
        <v>81.62</v>
      </c>
      <c r="D210">
        <v>81.62</v>
      </c>
      <c r="E210">
        <v>0</v>
      </c>
      <c r="F210">
        <v>8</v>
      </c>
      <c r="G210">
        <v>652.96</v>
      </c>
      <c r="H210" t="b">
        <v>1</v>
      </c>
      <c r="I210" t="s">
        <v>18</v>
      </c>
      <c r="J210">
        <v>8</v>
      </c>
    </row>
    <row r="211" spans="1:10" x14ac:dyDescent="0.25">
      <c r="A211" t="s">
        <v>30</v>
      </c>
      <c r="B211">
        <v>6</v>
      </c>
      <c r="C211">
        <v>81.62</v>
      </c>
      <c r="D211">
        <v>81.62</v>
      </c>
      <c r="E211">
        <v>0</v>
      </c>
      <c r="F211">
        <v>8</v>
      </c>
      <c r="G211">
        <v>652.96</v>
      </c>
      <c r="H211" t="b">
        <v>0</v>
      </c>
      <c r="I211" t="s">
        <v>18</v>
      </c>
      <c r="J211">
        <v>8</v>
      </c>
    </row>
    <row r="212" spans="1:10" x14ac:dyDescent="0.25">
      <c r="A212" t="s">
        <v>30</v>
      </c>
      <c r="B212">
        <v>7</v>
      </c>
      <c r="C212">
        <v>81.62</v>
      </c>
      <c r="D212">
        <v>81.62</v>
      </c>
      <c r="E212">
        <v>0</v>
      </c>
      <c r="F212">
        <v>8</v>
      </c>
      <c r="G212">
        <v>652.96</v>
      </c>
      <c r="H212" t="b">
        <v>0</v>
      </c>
      <c r="I212" t="s">
        <v>18</v>
      </c>
      <c r="J212">
        <v>8</v>
      </c>
    </row>
    <row r="213" spans="1:10" x14ac:dyDescent="0.25">
      <c r="A213" t="s">
        <v>30</v>
      </c>
      <c r="B213">
        <v>8</v>
      </c>
      <c r="C213">
        <v>81.62</v>
      </c>
      <c r="D213">
        <v>81.62</v>
      </c>
      <c r="E213">
        <v>0</v>
      </c>
      <c r="F213">
        <v>9</v>
      </c>
      <c r="G213">
        <v>734.58</v>
      </c>
      <c r="H213" t="b">
        <v>0</v>
      </c>
      <c r="I213" t="s">
        <v>18</v>
      </c>
      <c r="J213">
        <v>9</v>
      </c>
    </row>
    <row r="214" spans="1:10" x14ac:dyDescent="0.25">
      <c r="A214" t="s">
        <v>30</v>
      </c>
      <c r="B214">
        <v>9</v>
      </c>
      <c r="C214">
        <v>81.62</v>
      </c>
      <c r="D214">
        <v>81.62</v>
      </c>
      <c r="E214">
        <v>0</v>
      </c>
      <c r="F214">
        <v>8</v>
      </c>
      <c r="G214">
        <v>652.96</v>
      </c>
      <c r="H214" t="b">
        <v>0</v>
      </c>
      <c r="I214" t="s">
        <v>18</v>
      </c>
      <c r="J214">
        <v>8</v>
      </c>
    </row>
    <row r="215" spans="1:10" x14ac:dyDescent="0.25">
      <c r="A215" t="s">
        <v>30</v>
      </c>
      <c r="B215">
        <v>10</v>
      </c>
      <c r="C215">
        <v>81.62</v>
      </c>
      <c r="D215">
        <v>81.62</v>
      </c>
      <c r="E215">
        <v>0</v>
      </c>
      <c r="F215">
        <v>7</v>
      </c>
      <c r="G215">
        <v>571.34</v>
      </c>
      <c r="H215" t="b">
        <v>0</v>
      </c>
      <c r="I215" t="s">
        <v>18</v>
      </c>
      <c r="J215">
        <v>7</v>
      </c>
    </row>
    <row r="216" spans="1:10" x14ac:dyDescent="0.25">
      <c r="A216" t="s">
        <v>30</v>
      </c>
      <c r="B216">
        <v>11</v>
      </c>
      <c r="C216">
        <v>81.62</v>
      </c>
      <c r="D216">
        <v>81.62</v>
      </c>
      <c r="E216">
        <v>0</v>
      </c>
      <c r="F216">
        <v>6</v>
      </c>
      <c r="G216">
        <v>489.72</v>
      </c>
      <c r="H216" t="b">
        <v>0</v>
      </c>
      <c r="I216" t="s">
        <v>18</v>
      </c>
      <c r="J216">
        <v>6</v>
      </c>
    </row>
    <row r="217" spans="1:10" x14ac:dyDescent="0.25">
      <c r="A217" t="s">
        <v>30</v>
      </c>
      <c r="B217">
        <v>12</v>
      </c>
      <c r="C217">
        <v>81.62</v>
      </c>
      <c r="D217">
        <v>81.62</v>
      </c>
      <c r="E217">
        <v>0</v>
      </c>
      <c r="F217">
        <v>5</v>
      </c>
      <c r="G217">
        <v>408.1</v>
      </c>
      <c r="H217" t="b">
        <v>0</v>
      </c>
      <c r="I217" t="s">
        <v>18</v>
      </c>
      <c r="J217">
        <v>5</v>
      </c>
    </row>
    <row r="218" spans="1:10" x14ac:dyDescent="0.25">
      <c r="A218" t="s">
        <v>31</v>
      </c>
      <c r="B218">
        <v>1</v>
      </c>
      <c r="C218">
        <v>64.78</v>
      </c>
      <c r="D218">
        <v>64.78</v>
      </c>
      <c r="E218">
        <v>0</v>
      </c>
      <c r="F218">
        <v>19</v>
      </c>
      <c r="G218">
        <v>1230.82</v>
      </c>
      <c r="H218" t="b">
        <v>0</v>
      </c>
      <c r="I218" t="s">
        <v>18</v>
      </c>
      <c r="J218">
        <v>19</v>
      </c>
    </row>
    <row r="219" spans="1:10" x14ac:dyDescent="0.25">
      <c r="A219" t="s">
        <v>31</v>
      </c>
      <c r="B219">
        <v>2</v>
      </c>
      <c r="C219">
        <v>64.78</v>
      </c>
      <c r="D219">
        <v>64.78</v>
      </c>
      <c r="E219">
        <v>0</v>
      </c>
      <c r="F219">
        <v>16</v>
      </c>
      <c r="G219">
        <v>1036.48</v>
      </c>
      <c r="H219" t="b">
        <v>0</v>
      </c>
      <c r="I219" t="s">
        <v>18</v>
      </c>
      <c r="J219">
        <v>16</v>
      </c>
    </row>
    <row r="220" spans="1:10" x14ac:dyDescent="0.25">
      <c r="A220" t="s">
        <v>31</v>
      </c>
      <c r="B220">
        <v>3</v>
      </c>
      <c r="C220">
        <v>64.78</v>
      </c>
      <c r="D220">
        <v>64.78</v>
      </c>
      <c r="E220">
        <v>0</v>
      </c>
      <c r="F220">
        <v>17</v>
      </c>
      <c r="G220">
        <v>1101.26</v>
      </c>
      <c r="H220" t="b">
        <v>0</v>
      </c>
      <c r="I220" t="s">
        <v>18</v>
      </c>
      <c r="J220">
        <v>17</v>
      </c>
    </row>
    <row r="221" spans="1:10" x14ac:dyDescent="0.25">
      <c r="A221" t="s">
        <v>31</v>
      </c>
      <c r="B221">
        <v>4</v>
      </c>
      <c r="C221">
        <v>64.78</v>
      </c>
      <c r="D221">
        <v>64.78</v>
      </c>
      <c r="E221">
        <v>0</v>
      </c>
      <c r="F221">
        <v>17</v>
      </c>
      <c r="G221">
        <v>1101.26</v>
      </c>
      <c r="H221" t="b">
        <v>1</v>
      </c>
      <c r="I221" t="s">
        <v>18</v>
      </c>
      <c r="J221">
        <v>17</v>
      </c>
    </row>
    <row r="222" spans="1:10" x14ac:dyDescent="0.25">
      <c r="A222" t="s">
        <v>31</v>
      </c>
      <c r="B222">
        <v>5</v>
      </c>
      <c r="C222">
        <v>64.78</v>
      </c>
      <c r="D222">
        <v>64.78</v>
      </c>
      <c r="E222">
        <v>0</v>
      </c>
      <c r="F222">
        <v>14</v>
      </c>
      <c r="G222">
        <v>906.92</v>
      </c>
      <c r="H222" t="b">
        <v>1</v>
      </c>
      <c r="I222" t="s">
        <v>18</v>
      </c>
      <c r="J222">
        <v>14</v>
      </c>
    </row>
    <row r="223" spans="1:10" x14ac:dyDescent="0.25">
      <c r="A223" t="s">
        <v>31</v>
      </c>
      <c r="B223">
        <v>6</v>
      </c>
      <c r="C223">
        <v>64.78</v>
      </c>
      <c r="D223">
        <v>64.78</v>
      </c>
      <c r="E223">
        <v>0</v>
      </c>
      <c r="F223">
        <v>13</v>
      </c>
      <c r="G223">
        <v>842.14</v>
      </c>
      <c r="H223" t="b">
        <v>0</v>
      </c>
      <c r="I223" t="s">
        <v>18</v>
      </c>
      <c r="J223">
        <v>13</v>
      </c>
    </row>
    <row r="224" spans="1:10" x14ac:dyDescent="0.25">
      <c r="A224" t="s">
        <v>31</v>
      </c>
      <c r="B224">
        <v>7</v>
      </c>
      <c r="C224">
        <v>64.78</v>
      </c>
      <c r="D224">
        <v>64.78</v>
      </c>
      <c r="E224">
        <v>0</v>
      </c>
      <c r="F224">
        <v>14</v>
      </c>
      <c r="G224">
        <v>906.92</v>
      </c>
      <c r="H224" t="b">
        <v>0</v>
      </c>
      <c r="I224" t="s">
        <v>18</v>
      </c>
      <c r="J224">
        <v>14</v>
      </c>
    </row>
    <row r="225" spans="1:10" x14ac:dyDescent="0.25">
      <c r="A225" t="s">
        <v>31</v>
      </c>
      <c r="B225">
        <v>8</v>
      </c>
      <c r="C225">
        <v>64.78</v>
      </c>
      <c r="D225">
        <v>64.78</v>
      </c>
      <c r="E225">
        <v>0</v>
      </c>
      <c r="F225">
        <v>17</v>
      </c>
      <c r="G225">
        <v>1101.26</v>
      </c>
      <c r="H225" t="b">
        <v>0</v>
      </c>
      <c r="I225" t="s">
        <v>18</v>
      </c>
      <c r="J225">
        <v>17</v>
      </c>
    </row>
    <row r="226" spans="1:10" x14ac:dyDescent="0.25">
      <c r="A226" t="s">
        <v>31</v>
      </c>
      <c r="B226">
        <v>9</v>
      </c>
      <c r="C226">
        <v>64.78</v>
      </c>
      <c r="D226">
        <v>64.78</v>
      </c>
      <c r="E226">
        <v>0</v>
      </c>
      <c r="F226">
        <v>15</v>
      </c>
      <c r="G226">
        <v>971.7</v>
      </c>
      <c r="H226" t="b">
        <v>0</v>
      </c>
      <c r="I226" t="s">
        <v>18</v>
      </c>
      <c r="J226">
        <v>15</v>
      </c>
    </row>
    <row r="227" spans="1:10" x14ac:dyDescent="0.25">
      <c r="A227" t="s">
        <v>31</v>
      </c>
      <c r="B227">
        <v>10</v>
      </c>
      <c r="C227">
        <v>64.78</v>
      </c>
      <c r="D227">
        <v>64.78</v>
      </c>
      <c r="E227">
        <v>0</v>
      </c>
      <c r="F227">
        <v>14</v>
      </c>
      <c r="G227">
        <v>906.92</v>
      </c>
      <c r="H227" t="b">
        <v>0</v>
      </c>
      <c r="I227" t="s">
        <v>18</v>
      </c>
      <c r="J227">
        <v>14</v>
      </c>
    </row>
    <row r="228" spans="1:10" x14ac:dyDescent="0.25">
      <c r="A228" t="s">
        <v>31</v>
      </c>
      <c r="B228">
        <v>11</v>
      </c>
      <c r="C228">
        <v>64.78</v>
      </c>
      <c r="D228">
        <v>64.78</v>
      </c>
      <c r="E228">
        <v>0</v>
      </c>
      <c r="F228">
        <v>13</v>
      </c>
      <c r="G228">
        <v>842.14</v>
      </c>
      <c r="H228" t="b">
        <v>0</v>
      </c>
      <c r="I228" t="s">
        <v>18</v>
      </c>
      <c r="J228">
        <v>13</v>
      </c>
    </row>
    <row r="229" spans="1:10" x14ac:dyDescent="0.25">
      <c r="A229" t="s">
        <v>31</v>
      </c>
      <c r="B229">
        <v>12</v>
      </c>
      <c r="C229">
        <v>64.78</v>
      </c>
      <c r="D229">
        <v>64.78</v>
      </c>
      <c r="E229">
        <v>0</v>
      </c>
      <c r="F229">
        <v>9</v>
      </c>
      <c r="G229">
        <v>583.02</v>
      </c>
      <c r="H229" t="b">
        <v>0</v>
      </c>
      <c r="I229" t="s">
        <v>18</v>
      </c>
      <c r="J229">
        <v>9</v>
      </c>
    </row>
    <row r="230" spans="1:10" x14ac:dyDescent="0.25">
      <c r="A230" t="s">
        <v>32</v>
      </c>
      <c r="B230">
        <v>1</v>
      </c>
      <c r="C230">
        <v>26.4</v>
      </c>
      <c r="D230">
        <v>26.4</v>
      </c>
      <c r="E230">
        <v>0</v>
      </c>
      <c r="F230">
        <v>13</v>
      </c>
      <c r="G230">
        <v>343.2</v>
      </c>
      <c r="H230" t="b">
        <v>0</v>
      </c>
      <c r="I230" t="s">
        <v>18</v>
      </c>
      <c r="J230">
        <v>13</v>
      </c>
    </row>
    <row r="231" spans="1:10" x14ac:dyDescent="0.25">
      <c r="A231" t="s">
        <v>32</v>
      </c>
      <c r="B231">
        <v>2</v>
      </c>
      <c r="C231">
        <v>26.4</v>
      </c>
      <c r="D231">
        <v>26.4</v>
      </c>
      <c r="E231">
        <v>0</v>
      </c>
      <c r="F231">
        <v>11</v>
      </c>
      <c r="G231">
        <v>290.39999999999998</v>
      </c>
      <c r="H231" t="b">
        <v>0</v>
      </c>
      <c r="I231" t="s">
        <v>18</v>
      </c>
      <c r="J231">
        <v>11</v>
      </c>
    </row>
    <row r="232" spans="1:10" x14ac:dyDescent="0.25">
      <c r="A232" t="s">
        <v>32</v>
      </c>
      <c r="B232">
        <v>3</v>
      </c>
      <c r="C232">
        <v>26.4</v>
      </c>
      <c r="D232">
        <v>26.4</v>
      </c>
      <c r="E232">
        <v>0</v>
      </c>
      <c r="F232">
        <v>11</v>
      </c>
      <c r="G232">
        <v>290.39999999999998</v>
      </c>
      <c r="H232" t="b">
        <v>0</v>
      </c>
      <c r="I232" t="s">
        <v>18</v>
      </c>
      <c r="J232">
        <v>11</v>
      </c>
    </row>
    <row r="233" spans="1:10" x14ac:dyDescent="0.25">
      <c r="A233" t="s">
        <v>32</v>
      </c>
      <c r="B233">
        <v>4</v>
      </c>
      <c r="C233">
        <v>26.4</v>
      </c>
      <c r="D233">
        <v>26.4</v>
      </c>
      <c r="E233">
        <v>0</v>
      </c>
      <c r="F233">
        <v>8</v>
      </c>
      <c r="G233">
        <v>211.2</v>
      </c>
      <c r="H233" t="b">
        <v>1</v>
      </c>
      <c r="I233" t="s">
        <v>18</v>
      </c>
      <c r="J233">
        <v>8</v>
      </c>
    </row>
    <row r="234" spans="1:10" x14ac:dyDescent="0.25">
      <c r="A234" t="s">
        <v>32</v>
      </c>
      <c r="B234">
        <v>5</v>
      </c>
      <c r="C234">
        <v>26.4</v>
      </c>
      <c r="D234">
        <v>26.4</v>
      </c>
      <c r="E234">
        <v>0</v>
      </c>
      <c r="F234">
        <v>11</v>
      </c>
      <c r="G234">
        <v>290.39999999999998</v>
      </c>
      <c r="H234" t="b">
        <v>1</v>
      </c>
      <c r="I234" t="s">
        <v>18</v>
      </c>
      <c r="J234">
        <v>11</v>
      </c>
    </row>
    <row r="235" spans="1:10" x14ac:dyDescent="0.25">
      <c r="A235" t="s">
        <v>32</v>
      </c>
      <c r="B235">
        <v>6</v>
      </c>
      <c r="C235">
        <v>26.4</v>
      </c>
      <c r="D235">
        <v>26.4</v>
      </c>
      <c r="E235">
        <v>0</v>
      </c>
      <c r="F235">
        <v>7</v>
      </c>
      <c r="G235">
        <v>184.8</v>
      </c>
      <c r="H235" t="b">
        <v>0</v>
      </c>
      <c r="I235" t="s">
        <v>18</v>
      </c>
      <c r="J235">
        <v>7</v>
      </c>
    </row>
    <row r="236" spans="1:10" x14ac:dyDescent="0.25">
      <c r="A236" t="s">
        <v>32</v>
      </c>
      <c r="B236">
        <v>7</v>
      </c>
      <c r="C236">
        <v>26.4</v>
      </c>
      <c r="D236">
        <v>26.4</v>
      </c>
      <c r="E236">
        <v>0</v>
      </c>
      <c r="F236">
        <v>10</v>
      </c>
      <c r="G236">
        <v>264</v>
      </c>
      <c r="H236" t="b">
        <v>0</v>
      </c>
      <c r="I236" t="s">
        <v>18</v>
      </c>
      <c r="J236">
        <v>10</v>
      </c>
    </row>
    <row r="237" spans="1:10" x14ac:dyDescent="0.25">
      <c r="A237" t="s">
        <v>32</v>
      </c>
      <c r="B237">
        <v>8</v>
      </c>
      <c r="C237">
        <v>26.4</v>
      </c>
      <c r="D237">
        <v>26.4</v>
      </c>
      <c r="E237">
        <v>0</v>
      </c>
      <c r="F237">
        <v>8</v>
      </c>
      <c r="G237">
        <v>211.2</v>
      </c>
      <c r="H237" t="b">
        <v>0</v>
      </c>
      <c r="I237" t="s">
        <v>18</v>
      </c>
      <c r="J237">
        <v>8</v>
      </c>
    </row>
    <row r="238" spans="1:10" x14ac:dyDescent="0.25">
      <c r="A238" t="s">
        <v>32</v>
      </c>
      <c r="B238">
        <v>9</v>
      </c>
      <c r="C238">
        <v>26.4</v>
      </c>
      <c r="D238">
        <v>26.4</v>
      </c>
      <c r="E238">
        <v>0</v>
      </c>
      <c r="F238">
        <v>8</v>
      </c>
      <c r="G238">
        <v>211.2</v>
      </c>
      <c r="H238" t="b">
        <v>0</v>
      </c>
      <c r="I238" t="s">
        <v>18</v>
      </c>
      <c r="J238">
        <v>8</v>
      </c>
    </row>
    <row r="239" spans="1:10" x14ac:dyDescent="0.25">
      <c r="A239" t="s">
        <v>32</v>
      </c>
      <c r="B239">
        <v>10</v>
      </c>
      <c r="C239">
        <v>26.4</v>
      </c>
      <c r="D239">
        <v>26.4</v>
      </c>
      <c r="E239">
        <v>0</v>
      </c>
      <c r="F239">
        <v>8</v>
      </c>
      <c r="G239">
        <v>211.2</v>
      </c>
      <c r="H239" t="b">
        <v>0</v>
      </c>
      <c r="I239" t="s">
        <v>18</v>
      </c>
      <c r="J239">
        <v>8</v>
      </c>
    </row>
    <row r="240" spans="1:10" x14ac:dyDescent="0.25">
      <c r="A240" t="s">
        <v>32</v>
      </c>
      <c r="B240">
        <v>11</v>
      </c>
      <c r="C240">
        <v>26.4</v>
      </c>
      <c r="D240">
        <v>26.4</v>
      </c>
      <c r="E240">
        <v>0</v>
      </c>
      <c r="F240">
        <v>7</v>
      </c>
      <c r="G240">
        <v>184.8</v>
      </c>
      <c r="H240" t="b">
        <v>0</v>
      </c>
      <c r="I240" t="s">
        <v>18</v>
      </c>
      <c r="J240">
        <v>7</v>
      </c>
    </row>
    <row r="241" spans="1:10" x14ac:dyDescent="0.25">
      <c r="A241" t="s">
        <v>32</v>
      </c>
      <c r="B241">
        <v>12</v>
      </c>
      <c r="C241">
        <v>26.4</v>
      </c>
      <c r="D241">
        <v>26.4</v>
      </c>
      <c r="E241">
        <v>0</v>
      </c>
      <c r="F241">
        <v>5</v>
      </c>
      <c r="G241">
        <v>132</v>
      </c>
      <c r="H241" t="b">
        <v>0</v>
      </c>
      <c r="I241" t="s">
        <v>18</v>
      </c>
      <c r="J24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25F5-B1BC-4B8E-B908-85DC7F35D1AE}">
  <dimension ref="A1:Q241"/>
  <sheetViews>
    <sheetView topLeftCell="H1" workbookViewId="0">
      <selection activeCell="N37" sqref="N37"/>
    </sheetView>
  </sheetViews>
  <sheetFormatPr defaultRowHeight="15" x14ac:dyDescent="0.25"/>
  <cols>
    <col min="1" max="1" width="10.140625" customWidth="1"/>
    <col min="5" max="5" width="14.7109375" customWidth="1"/>
    <col min="6" max="6" width="12.42578125" customWidth="1"/>
    <col min="7" max="7" width="10.5703125" customWidth="1"/>
    <col min="8" max="8" width="17" customWidth="1"/>
    <col min="9" max="9" width="9.5703125" bestFit="1" customWidth="1"/>
    <col min="10" max="10" width="16.28515625" customWidth="1"/>
    <col min="12" max="12" width="15.140625" bestFit="1" customWidth="1"/>
    <col min="13" max="13" width="35.28515625" bestFit="1" customWidth="1"/>
    <col min="16" max="16" width="20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33</v>
      </c>
      <c r="M1" t="s">
        <v>72</v>
      </c>
    </row>
    <row r="2" spans="1:17" x14ac:dyDescent="0.25">
      <c r="A2" t="s">
        <v>10</v>
      </c>
      <c r="B2">
        <v>1</v>
      </c>
      <c r="C2">
        <v>28</v>
      </c>
      <c r="D2">
        <v>28</v>
      </c>
      <c r="E2">
        <v>0</v>
      </c>
      <c r="F2">
        <v>31</v>
      </c>
      <c r="G2">
        <v>868</v>
      </c>
      <c r="H2" t="b">
        <v>0</v>
      </c>
      <c r="I2" t="s">
        <v>11</v>
      </c>
      <c r="J2">
        <v>28.35</v>
      </c>
      <c r="L2" t="s">
        <v>34</v>
      </c>
      <c r="M2" t="s">
        <v>73</v>
      </c>
    </row>
    <row r="3" spans="1:17" x14ac:dyDescent="0.25">
      <c r="A3" t="s">
        <v>10</v>
      </c>
      <c r="B3">
        <v>2</v>
      </c>
      <c r="C3">
        <v>28</v>
      </c>
      <c r="D3">
        <v>28</v>
      </c>
      <c r="E3">
        <v>0</v>
      </c>
      <c r="F3">
        <v>26</v>
      </c>
      <c r="G3">
        <v>728</v>
      </c>
      <c r="H3" t="b">
        <v>0</v>
      </c>
      <c r="I3" t="s">
        <v>11</v>
      </c>
      <c r="J3">
        <v>27.23</v>
      </c>
      <c r="L3" t="s">
        <v>0</v>
      </c>
      <c r="M3" t="s">
        <v>10</v>
      </c>
    </row>
    <row r="4" spans="1:17" x14ac:dyDescent="0.25">
      <c r="A4" t="s">
        <v>10</v>
      </c>
      <c r="B4">
        <v>3</v>
      </c>
      <c r="C4">
        <v>28</v>
      </c>
      <c r="D4">
        <v>28</v>
      </c>
      <c r="E4">
        <v>0</v>
      </c>
      <c r="F4">
        <v>25</v>
      </c>
      <c r="G4">
        <v>700</v>
      </c>
      <c r="H4" t="b">
        <v>0</v>
      </c>
      <c r="I4" t="s">
        <v>11</v>
      </c>
      <c r="J4">
        <v>26.12</v>
      </c>
      <c r="L4" t="s">
        <v>35</v>
      </c>
      <c r="M4" t="s">
        <v>74</v>
      </c>
    </row>
    <row r="5" spans="1:17" x14ac:dyDescent="0.25">
      <c r="A5" t="s">
        <v>10</v>
      </c>
      <c r="B5">
        <v>4</v>
      </c>
      <c r="C5">
        <v>28</v>
      </c>
      <c r="D5">
        <v>28</v>
      </c>
      <c r="E5">
        <v>0</v>
      </c>
      <c r="F5">
        <v>22</v>
      </c>
      <c r="G5">
        <v>616</v>
      </c>
      <c r="H5" t="b">
        <v>0</v>
      </c>
      <c r="I5" t="s">
        <v>11</v>
      </c>
      <c r="J5">
        <v>25.01</v>
      </c>
      <c r="L5" t="s">
        <v>4</v>
      </c>
      <c r="M5">
        <v>0.15</v>
      </c>
      <c r="P5" t="s">
        <v>48</v>
      </c>
      <c r="Q5" t="s">
        <v>49</v>
      </c>
    </row>
    <row r="6" spans="1:17" x14ac:dyDescent="0.25">
      <c r="A6" t="s">
        <v>10</v>
      </c>
      <c r="B6">
        <v>5</v>
      </c>
      <c r="C6">
        <v>23.8</v>
      </c>
      <c r="D6">
        <v>28</v>
      </c>
      <c r="E6">
        <v>0.15</v>
      </c>
      <c r="F6">
        <v>47</v>
      </c>
      <c r="G6">
        <v>1118.5999999999999</v>
      </c>
      <c r="H6" t="b">
        <v>1</v>
      </c>
      <c r="I6" t="s">
        <v>11</v>
      </c>
      <c r="J6">
        <v>23.89</v>
      </c>
      <c r="L6" t="s">
        <v>36</v>
      </c>
      <c r="M6">
        <v>28</v>
      </c>
      <c r="P6" t="s">
        <v>50</v>
      </c>
      <c r="Q6">
        <v>344.25</v>
      </c>
    </row>
    <row r="7" spans="1:17" x14ac:dyDescent="0.25">
      <c r="A7" t="s">
        <v>10</v>
      </c>
      <c r="B7">
        <v>6</v>
      </c>
      <c r="C7">
        <v>23.8</v>
      </c>
      <c r="D7">
        <v>28</v>
      </c>
      <c r="E7">
        <v>0.15</v>
      </c>
      <c r="F7">
        <v>35</v>
      </c>
      <c r="G7">
        <v>833</v>
      </c>
      <c r="H7" t="b">
        <v>1</v>
      </c>
      <c r="I7" t="s">
        <v>11</v>
      </c>
      <c r="J7">
        <v>22.78</v>
      </c>
      <c r="L7" t="s">
        <v>37</v>
      </c>
      <c r="M7">
        <v>23.8</v>
      </c>
      <c r="P7" t="s">
        <v>66</v>
      </c>
      <c r="Q7">
        <v>-196.14</v>
      </c>
    </row>
    <row r="8" spans="1:17" x14ac:dyDescent="0.25">
      <c r="A8" t="s">
        <v>10</v>
      </c>
      <c r="B8">
        <v>7</v>
      </c>
      <c r="C8">
        <v>28</v>
      </c>
      <c r="D8">
        <v>28</v>
      </c>
      <c r="E8">
        <v>0</v>
      </c>
      <c r="F8">
        <v>23</v>
      </c>
      <c r="G8">
        <v>644</v>
      </c>
      <c r="H8" t="b">
        <v>0</v>
      </c>
      <c r="I8" t="s">
        <v>11</v>
      </c>
      <c r="J8">
        <v>21.67</v>
      </c>
      <c r="L8" t="s">
        <v>38</v>
      </c>
      <c r="M8">
        <v>82</v>
      </c>
      <c r="P8" t="s">
        <v>52</v>
      </c>
      <c r="Q8">
        <v>-32.65</v>
      </c>
    </row>
    <row r="9" spans="1:17" x14ac:dyDescent="0.25">
      <c r="A9" t="s">
        <v>10</v>
      </c>
      <c r="B9">
        <v>8</v>
      </c>
      <c r="C9">
        <v>28</v>
      </c>
      <c r="D9">
        <v>28</v>
      </c>
      <c r="E9">
        <v>0</v>
      </c>
      <c r="F9">
        <v>21</v>
      </c>
      <c r="G9">
        <v>588</v>
      </c>
      <c r="H9" t="b">
        <v>0</v>
      </c>
      <c r="I9" t="s">
        <v>11</v>
      </c>
      <c r="J9">
        <v>20.55</v>
      </c>
      <c r="L9" t="s">
        <v>9</v>
      </c>
      <c r="M9">
        <v>46.7</v>
      </c>
      <c r="P9" t="s">
        <v>53</v>
      </c>
      <c r="Q9">
        <v>115.46</v>
      </c>
    </row>
    <row r="10" spans="1:17" x14ac:dyDescent="0.25">
      <c r="A10" t="s">
        <v>10</v>
      </c>
      <c r="B10">
        <v>9</v>
      </c>
      <c r="C10">
        <v>28</v>
      </c>
      <c r="D10">
        <v>28</v>
      </c>
      <c r="E10">
        <v>0</v>
      </c>
      <c r="F10">
        <v>20</v>
      </c>
      <c r="G10">
        <v>560</v>
      </c>
      <c r="H10" t="b">
        <v>0</v>
      </c>
      <c r="I10" t="s">
        <v>11</v>
      </c>
      <c r="J10">
        <v>19.440000000000001</v>
      </c>
      <c r="L10" t="s">
        <v>39</v>
      </c>
      <c r="M10">
        <v>35.299999999999997</v>
      </c>
    </row>
    <row r="11" spans="1:17" x14ac:dyDescent="0.25">
      <c r="A11" t="s">
        <v>10</v>
      </c>
      <c r="B11">
        <v>10</v>
      </c>
      <c r="C11">
        <v>28</v>
      </c>
      <c r="D11">
        <v>28</v>
      </c>
      <c r="E11">
        <v>0</v>
      </c>
      <c r="F11">
        <v>22</v>
      </c>
      <c r="G11">
        <v>616</v>
      </c>
      <c r="H11" t="b">
        <v>0</v>
      </c>
      <c r="I11" t="s">
        <v>11</v>
      </c>
      <c r="J11">
        <v>18.329999999999998</v>
      </c>
      <c r="L11" t="s">
        <v>40</v>
      </c>
      <c r="M11">
        <v>1.8</v>
      </c>
      <c r="P11" t="s">
        <v>54</v>
      </c>
      <c r="Q11" t="s">
        <v>55</v>
      </c>
    </row>
    <row r="12" spans="1:17" x14ac:dyDescent="0.25">
      <c r="A12" t="s">
        <v>10</v>
      </c>
      <c r="B12">
        <v>11</v>
      </c>
      <c r="C12">
        <v>28</v>
      </c>
      <c r="D12">
        <v>28</v>
      </c>
      <c r="E12">
        <v>0</v>
      </c>
      <c r="F12">
        <v>17</v>
      </c>
      <c r="G12">
        <v>476</v>
      </c>
      <c r="H12" t="b">
        <v>0</v>
      </c>
      <c r="I12" t="s">
        <v>11</v>
      </c>
      <c r="J12">
        <v>17.21</v>
      </c>
      <c r="L12" t="s">
        <v>41</v>
      </c>
      <c r="M12">
        <v>22.5</v>
      </c>
      <c r="P12" t="s">
        <v>56</v>
      </c>
      <c r="Q12">
        <v>115.46</v>
      </c>
    </row>
    <row r="13" spans="1:17" x14ac:dyDescent="0.25">
      <c r="A13" t="s">
        <v>10</v>
      </c>
      <c r="B13">
        <v>12</v>
      </c>
      <c r="C13">
        <v>28</v>
      </c>
      <c r="D13">
        <v>28</v>
      </c>
      <c r="E13">
        <v>0</v>
      </c>
      <c r="F13">
        <v>13</v>
      </c>
      <c r="G13">
        <v>364</v>
      </c>
      <c r="H13" t="b">
        <v>0</v>
      </c>
      <c r="I13" t="s">
        <v>11</v>
      </c>
      <c r="J13">
        <v>16.100000000000001</v>
      </c>
      <c r="L13" t="s">
        <v>42</v>
      </c>
      <c r="M13">
        <v>5</v>
      </c>
      <c r="P13" t="s">
        <v>57</v>
      </c>
      <c r="Q13" s="1">
        <v>0.58899999999999997</v>
      </c>
    </row>
    <row r="14" spans="1:17" x14ac:dyDescent="0.25">
      <c r="A14" t="s">
        <v>12</v>
      </c>
      <c r="B14">
        <v>1</v>
      </c>
      <c r="C14">
        <v>27.51</v>
      </c>
      <c r="D14">
        <v>27.51</v>
      </c>
      <c r="E14">
        <v>0</v>
      </c>
      <c r="F14">
        <v>19</v>
      </c>
      <c r="G14">
        <v>522.69000000000005</v>
      </c>
      <c r="H14" t="b">
        <v>0</v>
      </c>
      <c r="I14" t="s">
        <v>13</v>
      </c>
      <c r="J14">
        <v>17.670000000000002</v>
      </c>
      <c r="L14" t="s">
        <v>75</v>
      </c>
      <c r="M14">
        <v>115.46</v>
      </c>
    </row>
    <row r="15" spans="1:17" x14ac:dyDescent="0.25">
      <c r="A15" t="s">
        <v>12</v>
      </c>
      <c r="B15">
        <v>2</v>
      </c>
      <c r="C15">
        <v>27.51</v>
      </c>
      <c r="D15">
        <v>27.51</v>
      </c>
      <c r="E15">
        <v>0</v>
      </c>
      <c r="F15">
        <v>16</v>
      </c>
      <c r="G15">
        <v>440.16</v>
      </c>
      <c r="H15" t="b">
        <v>0</v>
      </c>
      <c r="I15" t="s">
        <v>13</v>
      </c>
      <c r="J15">
        <v>17.059999999999999</v>
      </c>
      <c r="L15" t="s">
        <v>76</v>
      </c>
      <c r="M15">
        <v>58.9</v>
      </c>
    </row>
    <row r="16" spans="1:17" x14ac:dyDescent="0.25">
      <c r="A16" t="s">
        <v>12</v>
      </c>
      <c r="B16">
        <v>3</v>
      </c>
      <c r="C16">
        <v>27.51</v>
      </c>
      <c r="D16">
        <v>27.51</v>
      </c>
      <c r="E16">
        <v>0</v>
      </c>
      <c r="F16">
        <v>17</v>
      </c>
      <c r="G16">
        <v>467.67</v>
      </c>
      <c r="H16" t="b">
        <v>0</v>
      </c>
      <c r="I16" t="s">
        <v>13</v>
      </c>
      <c r="J16">
        <v>16.46</v>
      </c>
    </row>
    <row r="17" spans="1:10" x14ac:dyDescent="0.25">
      <c r="A17" t="s">
        <v>12</v>
      </c>
      <c r="B17">
        <v>4</v>
      </c>
      <c r="C17">
        <v>27.51</v>
      </c>
      <c r="D17">
        <v>27.51</v>
      </c>
      <c r="E17">
        <v>0</v>
      </c>
      <c r="F17">
        <v>15</v>
      </c>
      <c r="G17">
        <v>412.65</v>
      </c>
      <c r="H17" t="b">
        <v>0</v>
      </c>
      <c r="I17" t="s">
        <v>13</v>
      </c>
      <c r="J17">
        <v>15.85</v>
      </c>
    </row>
    <row r="18" spans="1:10" x14ac:dyDescent="0.25">
      <c r="A18" t="s">
        <v>12</v>
      </c>
      <c r="B18">
        <v>5</v>
      </c>
      <c r="C18">
        <v>27.51</v>
      </c>
      <c r="D18">
        <v>27.51</v>
      </c>
      <c r="E18">
        <v>0</v>
      </c>
      <c r="F18">
        <v>13</v>
      </c>
      <c r="G18">
        <v>357.63</v>
      </c>
      <c r="H18" t="b">
        <v>1</v>
      </c>
      <c r="I18" t="s">
        <v>13</v>
      </c>
      <c r="J18">
        <v>15.24</v>
      </c>
    </row>
    <row r="19" spans="1:10" x14ac:dyDescent="0.25">
      <c r="A19" t="s">
        <v>12</v>
      </c>
      <c r="B19">
        <v>6</v>
      </c>
      <c r="C19">
        <v>27.51</v>
      </c>
      <c r="D19">
        <v>27.51</v>
      </c>
      <c r="E19">
        <v>0</v>
      </c>
      <c r="F19">
        <v>13</v>
      </c>
      <c r="G19">
        <v>357.63</v>
      </c>
      <c r="H19" t="b">
        <v>1</v>
      </c>
      <c r="I19" t="s">
        <v>13</v>
      </c>
      <c r="J19">
        <v>14.63</v>
      </c>
    </row>
    <row r="20" spans="1:10" x14ac:dyDescent="0.25">
      <c r="A20" t="s">
        <v>12</v>
      </c>
      <c r="B20">
        <v>7</v>
      </c>
      <c r="C20">
        <v>27.51</v>
      </c>
      <c r="D20">
        <v>27.51</v>
      </c>
      <c r="E20">
        <v>0</v>
      </c>
      <c r="F20">
        <v>14</v>
      </c>
      <c r="G20">
        <v>385.14</v>
      </c>
      <c r="H20" t="b">
        <v>0</v>
      </c>
      <c r="I20" t="s">
        <v>13</v>
      </c>
      <c r="J20">
        <v>14.02</v>
      </c>
    </row>
    <row r="21" spans="1:10" x14ac:dyDescent="0.25">
      <c r="A21" t="s">
        <v>12</v>
      </c>
      <c r="B21">
        <v>8</v>
      </c>
      <c r="C21">
        <v>27.51</v>
      </c>
      <c r="D21">
        <v>27.51</v>
      </c>
      <c r="E21">
        <v>0</v>
      </c>
      <c r="F21">
        <v>12</v>
      </c>
      <c r="G21">
        <v>330.12</v>
      </c>
      <c r="H21" t="b">
        <v>0</v>
      </c>
      <c r="I21" t="s">
        <v>13</v>
      </c>
      <c r="J21">
        <v>13.41</v>
      </c>
    </row>
    <row r="22" spans="1:10" x14ac:dyDescent="0.25">
      <c r="A22" t="s">
        <v>12</v>
      </c>
      <c r="B22">
        <v>9</v>
      </c>
      <c r="C22">
        <v>27.51</v>
      </c>
      <c r="D22">
        <v>27.51</v>
      </c>
      <c r="E22">
        <v>0</v>
      </c>
      <c r="F22">
        <v>12</v>
      </c>
      <c r="G22">
        <v>330.12</v>
      </c>
      <c r="H22" t="b">
        <v>0</v>
      </c>
      <c r="I22" t="s">
        <v>13</v>
      </c>
      <c r="J22">
        <v>12.8</v>
      </c>
    </row>
    <row r="23" spans="1:10" x14ac:dyDescent="0.25">
      <c r="A23" t="s">
        <v>12</v>
      </c>
      <c r="B23">
        <v>10</v>
      </c>
      <c r="C23">
        <v>27.51</v>
      </c>
      <c r="D23">
        <v>27.51</v>
      </c>
      <c r="E23">
        <v>0</v>
      </c>
      <c r="F23">
        <v>14</v>
      </c>
      <c r="G23">
        <v>385.14</v>
      </c>
      <c r="H23" t="b">
        <v>0</v>
      </c>
      <c r="I23" t="s">
        <v>13</v>
      </c>
      <c r="J23">
        <v>12.19</v>
      </c>
    </row>
    <row r="24" spans="1:10" x14ac:dyDescent="0.25">
      <c r="A24" t="s">
        <v>12</v>
      </c>
      <c r="B24">
        <v>11</v>
      </c>
      <c r="C24">
        <v>27.51</v>
      </c>
      <c r="D24">
        <v>27.51</v>
      </c>
      <c r="E24">
        <v>0</v>
      </c>
      <c r="F24">
        <v>14</v>
      </c>
      <c r="G24">
        <v>385.14</v>
      </c>
      <c r="H24" t="b">
        <v>0</v>
      </c>
      <c r="I24" t="s">
        <v>13</v>
      </c>
      <c r="J24">
        <v>11.58</v>
      </c>
    </row>
    <row r="25" spans="1:10" x14ac:dyDescent="0.25">
      <c r="A25" t="s">
        <v>12</v>
      </c>
      <c r="B25">
        <v>12</v>
      </c>
      <c r="C25">
        <v>27.51</v>
      </c>
      <c r="D25">
        <v>27.51</v>
      </c>
      <c r="E25">
        <v>0</v>
      </c>
      <c r="F25">
        <v>9</v>
      </c>
      <c r="G25">
        <v>247.59</v>
      </c>
      <c r="H25" t="b">
        <v>0</v>
      </c>
      <c r="I25" t="s">
        <v>13</v>
      </c>
      <c r="J25">
        <v>10.97</v>
      </c>
    </row>
    <row r="26" spans="1:10" x14ac:dyDescent="0.25">
      <c r="A26" t="s">
        <v>14</v>
      </c>
      <c r="B26">
        <v>1</v>
      </c>
      <c r="C26">
        <v>24.75</v>
      </c>
      <c r="D26">
        <v>24.75</v>
      </c>
      <c r="E26">
        <v>0</v>
      </c>
      <c r="F26">
        <v>25</v>
      </c>
      <c r="G26">
        <v>618.75</v>
      </c>
      <c r="H26" t="b">
        <v>0</v>
      </c>
      <c r="I26" t="s">
        <v>13</v>
      </c>
      <c r="J26">
        <v>24.22</v>
      </c>
    </row>
    <row r="27" spans="1:10" x14ac:dyDescent="0.25">
      <c r="A27" t="s">
        <v>14</v>
      </c>
      <c r="B27">
        <v>2</v>
      </c>
      <c r="C27">
        <v>24.75</v>
      </c>
      <c r="D27">
        <v>24.75</v>
      </c>
      <c r="E27">
        <v>0</v>
      </c>
      <c r="F27">
        <v>23</v>
      </c>
      <c r="G27">
        <v>569.25</v>
      </c>
      <c r="H27" t="b">
        <v>0</v>
      </c>
      <c r="I27" t="s">
        <v>13</v>
      </c>
      <c r="J27">
        <v>23.21</v>
      </c>
    </row>
    <row r="28" spans="1:10" x14ac:dyDescent="0.25">
      <c r="A28" t="s">
        <v>14</v>
      </c>
      <c r="B28">
        <v>3</v>
      </c>
      <c r="C28">
        <v>24.75</v>
      </c>
      <c r="D28">
        <v>24.75</v>
      </c>
      <c r="E28">
        <v>0</v>
      </c>
      <c r="F28">
        <v>23</v>
      </c>
      <c r="G28">
        <v>569.25</v>
      </c>
      <c r="H28" t="b">
        <v>0</v>
      </c>
      <c r="I28" t="s">
        <v>13</v>
      </c>
      <c r="J28">
        <v>22.21</v>
      </c>
    </row>
    <row r="29" spans="1:10" x14ac:dyDescent="0.25">
      <c r="A29" t="s">
        <v>14</v>
      </c>
      <c r="B29">
        <v>4</v>
      </c>
      <c r="C29">
        <v>24.75</v>
      </c>
      <c r="D29">
        <v>24.75</v>
      </c>
      <c r="E29">
        <v>0</v>
      </c>
      <c r="F29">
        <v>21</v>
      </c>
      <c r="G29">
        <v>519.75</v>
      </c>
      <c r="H29" t="b">
        <v>0</v>
      </c>
      <c r="I29" t="s">
        <v>13</v>
      </c>
      <c r="J29">
        <v>21.21</v>
      </c>
    </row>
    <row r="30" spans="1:10" x14ac:dyDescent="0.25">
      <c r="A30" t="s">
        <v>14</v>
      </c>
      <c r="B30">
        <v>5</v>
      </c>
      <c r="C30">
        <v>24.75</v>
      </c>
      <c r="D30">
        <v>24.75</v>
      </c>
      <c r="E30">
        <v>0</v>
      </c>
      <c r="F30">
        <v>18</v>
      </c>
      <c r="G30">
        <v>445.5</v>
      </c>
      <c r="H30" t="b">
        <v>1</v>
      </c>
      <c r="I30" t="s">
        <v>13</v>
      </c>
      <c r="J30">
        <v>20.2</v>
      </c>
    </row>
    <row r="31" spans="1:10" x14ac:dyDescent="0.25">
      <c r="A31" t="s">
        <v>14</v>
      </c>
      <c r="B31">
        <v>6</v>
      </c>
      <c r="C31">
        <v>24.75</v>
      </c>
      <c r="D31">
        <v>24.75</v>
      </c>
      <c r="E31">
        <v>0</v>
      </c>
      <c r="F31">
        <v>19</v>
      </c>
      <c r="G31">
        <v>470.25</v>
      </c>
      <c r="H31" t="b">
        <v>1</v>
      </c>
      <c r="I31" t="s">
        <v>13</v>
      </c>
      <c r="J31">
        <v>19.2</v>
      </c>
    </row>
    <row r="32" spans="1:10" x14ac:dyDescent="0.25">
      <c r="A32" t="s">
        <v>14</v>
      </c>
      <c r="B32">
        <v>7</v>
      </c>
      <c r="C32">
        <v>24.75</v>
      </c>
      <c r="D32">
        <v>24.75</v>
      </c>
      <c r="E32">
        <v>0</v>
      </c>
      <c r="F32">
        <v>17</v>
      </c>
      <c r="G32">
        <v>420.75</v>
      </c>
      <c r="H32" t="b">
        <v>0</v>
      </c>
      <c r="I32" t="s">
        <v>13</v>
      </c>
      <c r="J32">
        <v>18.2</v>
      </c>
    </row>
    <row r="33" spans="1:10" x14ac:dyDescent="0.25">
      <c r="A33" t="s">
        <v>14</v>
      </c>
      <c r="B33">
        <v>8</v>
      </c>
      <c r="C33">
        <v>24.75</v>
      </c>
      <c r="D33">
        <v>24.75</v>
      </c>
      <c r="E33">
        <v>0</v>
      </c>
      <c r="F33">
        <v>15</v>
      </c>
      <c r="G33">
        <v>371.25</v>
      </c>
      <c r="H33" t="b">
        <v>0</v>
      </c>
      <c r="I33" t="s">
        <v>13</v>
      </c>
      <c r="J33">
        <v>17.2</v>
      </c>
    </row>
    <row r="34" spans="1:10" x14ac:dyDescent="0.25">
      <c r="A34" t="s">
        <v>14</v>
      </c>
      <c r="B34">
        <v>9</v>
      </c>
      <c r="C34">
        <v>24.75</v>
      </c>
      <c r="D34">
        <v>24.75</v>
      </c>
      <c r="E34">
        <v>0</v>
      </c>
      <c r="F34">
        <v>16</v>
      </c>
      <c r="G34">
        <v>396</v>
      </c>
      <c r="H34" t="b">
        <v>0</v>
      </c>
      <c r="I34" t="s">
        <v>13</v>
      </c>
      <c r="J34">
        <v>16.190000000000001</v>
      </c>
    </row>
    <row r="35" spans="1:10" x14ac:dyDescent="0.25">
      <c r="A35" t="s">
        <v>14</v>
      </c>
      <c r="B35">
        <v>10</v>
      </c>
      <c r="C35">
        <v>24.75</v>
      </c>
      <c r="D35">
        <v>24.75</v>
      </c>
      <c r="E35">
        <v>0</v>
      </c>
      <c r="F35">
        <v>14</v>
      </c>
      <c r="G35">
        <v>346.5</v>
      </c>
      <c r="H35" t="b">
        <v>0</v>
      </c>
      <c r="I35" t="s">
        <v>13</v>
      </c>
      <c r="J35">
        <v>15.19</v>
      </c>
    </row>
    <row r="36" spans="1:10" x14ac:dyDescent="0.25">
      <c r="A36" t="s">
        <v>14</v>
      </c>
      <c r="B36">
        <v>11</v>
      </c>
      <c r="C36">
        <v>24.75</v>
      </c>
      <c r="D36">
        <v>24.75</v>
      </c>
      <c r="E36">
        <v>0</v>
      </c>
      <c r="F36">
        <v>20</v>
      </c>
      <c r="G36">
        <v>495</v>
      </c>
      <c r="H36" t="b">
        <v>0</v>
      </c>
      <c r="I36" t="s">
        <v>13</v>
      </c>
      <c r="J36">
        <v>14.19</v>
      </c>
    </row>
    <row r="37" spans="1:10" x14ac:dyDescent="0.25">
      <c r="A37" t="s">
        <v>14</v>
      </c>
      <c r="B37">
        <v>12</v>
      </c>
      <c r="C37">
        <v>24.75</v>
      </c>
      <c r="D37">
        <v>24.75</v>
      </c>
      <c r="E37">
        <v>0</v>
      </c>
      <c r="F37">
        <v>11</v>
      </c>
      <c r="G37">
        <v>272.25</v>
      </c>
      <c r="H37" t="b">
        <v>0</v>
      </c>
      <c r="I37" t="s">
        <v>13</v>
      </c>
      <c r="J37">
        <v>13.18</v>
      </c>
    </row>
    <row r="38" spans="1:10" x14ac:dyDescent="0.25">
      <c r="A38" t="s">
        <v>15</v>
      </c>
      <c r="B38">
        <v>1</v>
      </c>
      <c r="C38">
        <v>30.09</v>
      </c>
      <c r="D38">
        <v>30.09</v>
      </c>
      <c r="E38">
        <v>0</v>
      </c>
      <c r="F38">
        <v>23</v>
      </c>
      <c r="G38">
        <v>692.07</v>
      </c>
      <c r="H38" t="b">
        <v>0</v>
      </c>
      <c r="I38" t="s">
        <v>13</v>
      </c>
      <c r="J38">
        <v>21.66</v>
      </c>
    </row>
    <row r="39" spans="1:10" x14ac:dyDescent="0.25">
      <c r="A39" t="s">
        <v>15</v>
      </c>
      <c r="B39">
        <v>2</v>
      </c>
      <c r="C39">
        <v>30.09</v>
      </c>
      <c r="D39">
        <v>30.09</v>
      </c>
      <c r="E39">
        <v>0</v>
      </c>
      <c r="F39">
        <v>20</v>
      </c>
      <c r="G39">
        <v>601.79999999999995</v>
      </c>
      <c r="H39" t="b">
        <v>0</v>
      </c>
      <c r="I39" t="s">
        <v>13</v>
      </c>
      <c r="J39">
        <v>20.79</v>
      </c>
    </row>
    <row r="40" spans="1:10" x14ac:dyDescent="0.25">
      <c r="A40" t="s">
        <v>15</v>
      </c>
      <c r="B40">
        <v>3</v>
      </c>
      <c r="C40">
        <v>30.09</v>
      </c>
      <c r="D40">
        <v>30.09</v>
      </c>
      <c r="E40">
        <v>0</v>
      </c>
      <c r="F40">
        <v>21</v>
      </c>
      <c r="G40">
        <v>631.89</v>
      </c>
      <c r="H40" t="b">
        <v>0</v>
      </c>
      <c r="I40" t="s">
        <v>13</v>
      </c>
      <c r="J40">
        <v>19.920000000000002</v>
      </c>
    </row>
    <row r="41" spans="1:10" x14ac:dyDescent="0.25">
      <c r="A41" t="s">
        <v>15</v>
      </c>
      <c r="B41">
        <v>4</v>
      </c>
      <c r="C41">
        <v>30.09</v>
      </c>
      <c r="D41">
        <v>30.09</v>
      </c>
      <c r="E41">
        <v>0</v>
      </c>
      <c r="F41">
        <v>15</v>
      </c>
      <c r="G41">
        <v>451.35</v>
      </c>
      <c r="H41" t="b">
        <v>0</v>
      </c>
      <c r="I41" t="s">
        <v>13</v>
      </c>
      <c r="J41">
        <v>19.05</v>
      </c>
    </row>
    <row r="42" spans="1:10" x14ac:dyDescent="0.25">
      <c r="A42" t="s">
        <v>15</v>
      </c>
      <c r="B42">
        <v>5</v>
      </c>
      <c r="C42">
        <v>30.09</v>
      </c>
      <c r="D42">
        <v>30.09</v>
      </c>
      <c r="E42">
        <v>0</v>
      </c>
      <c r="F42">
        <v>16</v>
      </c>
      <c r="G42">
        <v>481.44</v>
      </c>
      <c r="H42" t="b">
        <v>1</v>
      </c>
      <c r="I42" t="s">
        <v>13</v>
      </c>
      <c r="J42">
        <v>18.18</v>
      </c>
    </row>
    <row r="43" spans="1:10" x14ac:dyDescent="0.25">
      <c r="A43" t="s">
        <v>15</v>
      </c>
      <c r="B43">
        <v>6</v>
      </c>
      <c r="C43">
        <v>30.09</v>
      </c>
      <c r="D43">
        <v>30.09</v>
      </c>
      <c r="E43">
        <v>0</v>
      </c>
      <c r="F43">
        <v>16</v>
      </c>
      <c r="G43">
        <v>481.44</v>
      </c>
      <c r="H43" t="b">
        <v>1</v>
      </c>
      <c r="I43" t="s">
        <v>13</v>
      </c>
      <c r="J43">
        <v>17.309999999999999</v>
      </c>
    </row>
    <row r="44" spans="1:10" x14ac:dyDescent="0.25">
      <c r="A44" t="s">
        <v>15</v>
      </c>
      <c r="B44">
        <v>7</v>
      </c>
      <c r="C44">
        <v>30.09</v>
      </c>
      <c r="D44">
        <v>30.09</v>
      </c>
      <c r="E44">
        <v>0</v>
      </c>
      <c r="F44">
        <v>16</v>
      </c>
      <c r="G44">
        <v>481.44</v>
      </c>
      <c r="H44" t="b">
        <v>0</v>
      </c>
      <c r="I44" t="s">
        <v>13</v>
      </c>
      <c r="J44">
        <v>16.440000000000001</v>
      </c>
    </row>
    <row r="45" spans="1:10" x14ac:dyDescent="0.25">
      <c r="A45" t="s">
        <v>15</v>
      </c>
      <c r="B45">
        <v>8</v>
      </c>
      <c r="C45">
        <v>30.09</v>
      </c>
      <c r="D45">
        <v>30.09</v>
      </c>
      <c r="E45">
        <v>0</v>
      </c>
      <c r="F45">
        <v>19</v>
      </c>
      <c r="G45">
        <v>571.71</v>
      </c>
      <c r="H45" t="b">
        <v>0</v>
      </c>
      <c r="I45" t="s">
        <v>13</v>
      </c>
      <c r="J45">
        <v>15.57</v>
      </c>
    </row>
    <row r="46" spans="1:10" x14ac:dyDescent="0.25">
      <c r="A46" t="s">
        <v>15</v>
      </c>
      <c r="B46">
        <v>9</v>
      </c>
      <c r="C46">
        <v>30.09</v>
      </c>
      <c r="D46">
        <v>30.09</v>
      </c>
      <c r="E46">
        <v>0</v>
      </c>
      <c r="F46">
        <v>16</v>
      </c>
      <c r="G46">
        <v>481.44</v>
      </c>
      <c r="H46" t="b">
        <v>0</v>
      </c>
      <c r="I46" t="s">
        <v>13</v>
      </c>
      <c r="J46">
        <v>14.7</v>
      </c>
    </row>
    <row r="47" spans="1:10" x14ac:dyDescent="0.25">
      <c r="A47" t="s">
        <v>15</v>
      </c>
      <c r="B47">
        <v>10</v>
      </c>
      <c r="C47">
        <v>30.09</v>
      </c>
      <c r="D47">
        <v>30.09</v>
      </c>
      <c r="E47">
        <v>0</v>
      </c>
      <c r="F47">
        <v>14</v>
      </c>
      <c r="G47">
        <v>421.26</v>
      </c>
      <c r="H47" t="b">
        <v>0</v>
      </c>
      <c r="I47" t="s">
        <v>13</v>
      </c>
      <c r="J47">
        <v>13.83</v>
      </c>
    </row>
    <row r="48" spans="1:10" x14ac:dyDescent="0.25">
      <c r="A48" t="s">
        <v>15</v>
      </c>
      <c r="B48">
        <v>11</v>
      </c>
      <c r="C48">
        <v>30.09</v>
      </c>
      <c r="D48">
        <v>30.09</v>
      </c>
      <c r="E48">
        <v>0</v>
      </c>
      <c r="F48">
        <v>13</v>
      </c>
      <c r="G48">
        <v>391.17</v>
      </c>
      <c r="H48" t="b">
        <v>0</v>
      </c>
      <c r="I48" t="s">
        <v>13</v>
      </c>
      <c r="J48">
        <v>12.96</v>
      </c>
    </row>
    <row r="49" spans="1:10" x14ac:dyDescent="0.25">
      <c r="A49" t="s">
        <v>15</v>
      </c>
      <c r="B49">
        <v>12</v>
      </c>
      <c r="C49">
        <v>30.09</v>
      </c>
      <c r="D49">
        <v>30.09</v>
      </c>
      <c r="E49">
        <v>0</v>
      </c>
      <c r="F49">
        <v>10</v>
      </c>
      <c r="G49">
        <v>300.89999999999998</v>
      </c>
      <c r="H49" t="b">
        <v>0</v>
      </c>
      <c r="I49" t="s">
        <v>13</v>
      </c>
      <c r="J49">
        <v>12.09</v>
      </c>
    </row>
    <row r="50" spans="1:10" x14ac:dyDescent="0.25">
      <c r="A50" t="s">
        <v>16</v>
      </c>
      <c r="B50">
        <v>1</v>
      </c>
      <c r="C50">
        <v>27.6</v>
      </c>
      <c r="D50">
        <v>27.6</v>
      </c>
      <c r="E50">
        <v>0</v>
      </c>
      <c r="F50">
        <v>23</v>
      </c>
      <c r="G50">
        <v>634.79999999999995</v>
      </c>
      <c r="H50" t="b">
        <v>0</v>
      </c>
      <c r="I50" t="s">
        <v>13</v>
      </c>
      <c r="J50">
        <v>22.2</v>
      </c>
    </row>
    <row r="51" spans="1:10" x14ac:dyDescent="0.25">
      <c r="A51" t="s">
        <v>16</v>
      </c>
      <c r="B51">
        <v>2</v>
      </c>
      <c r="C51">
        <v>27.6</v>
      </c>
      <c r="D51">
        <v>27.6</v>
      </c>
      <c r="E51">
        <v>0</v>
      </c>
      <c r="F51">
        <v>18</v>
      </c>
      <c r="G51">
        <v>496.8</v>
      </c>
      <c r="H51" t="b">
        <v>0</v>
      </c>
      <c r="I51" t="s">
        <v>13</v>
      </c>
      <c r="J51">
        <v>21.27</v>
      </c>
    </row>
    <row r="52" spans="1:10" x14ac:dyDescent="0.25">
      <c r="A52" t="s">
        <v>16</v>
      </c>
      <c r="B52">
        <v>3</v>
      </c>
      <c r="C52">
        <v>27.6</v>
      </c>
      <c r="D52">
        <v>27.6</v>
      </c>
      <c r="E52">
        <v>0</v>
      </c>
      <c r="F52">
        <v>22</v>
      </c>
      <c r="G52">
        <v>607.20000000000005</v>
      </c>
      <c r="H52" t="b">
        <v>0</v>
      </c>
      <c r="I52" t="s">
        <v>13</v>
      </c>
      <c r="J52">
        <v>20.34</v>
      </c>
    </row>
    <row r="53" spans="1:10" x14ac:dyDescent="0.25">
      <c r="A53" t="s">
        <v>16</v>
      </c>
      <c r="B53">
        <v>4</v>
      </c>
      <c r="C53">
        <v>27.6</v>
      </c>
      <c r="D53">
        <v>27.6</v>
      </c>
      <c r="E53">
        <v>0</v>
      </c>
      <c r="F53">
        <v>19</v>
      </c>
      <c r="G53">
        <v>524.4</v>
      </c>
      <c r="H53" t="b">
        <v>0</v>
      </c>
      <c r="I53" t="s">
        <v>13</v>
      </c>
      <c r="J53">
        <v>19.41</v>
      </c>
    </row>
    <row r="54" spans="1:10" x14ac:dyDescent="0.25">
      <c r="A54" t="s">
        <v>16</v>
      </c>
      <c r="B54">
        <v>5</v>
      </c>
      <c r="C54">
        <v>27.6</v>
      </c>
      <c r="D54">
        <v>27.6</v>
      </c>
      <c r="E54">
        <v>0</v>
      </c>
      <c r="F54">
        <v>17</v>
      </c>
      <c r="G54">
        <v>469.2</v>
      </c>
      <c r="H54" t="b">
        <v>1</v>
      </c>
      <c r="I54" t="s">
        <v>13</v>
      </c>
      <c r="J54">
        <v>18.48</v>
      </c>
    </row>
    <row r="55" spans="1:10" x14ac:dyDescent="0.25">
      <c r="A55" t="s">
        <v>16</v>
      </c>
      <c r="B55">
        <v>6</v>
      </c>
      <c r="C55">
        <v>27.6</v>
      </c>
      <c r="D55">
        <v>27.6</v>
      </c>
      <c r="E55">
        <v>0</v>
      </c>
      <c r="F55">
        <v>16</v>
      </c>
      <c r="G55">
        <v>441.6</v>
      </c>
      <c r="H55" t="b">
        <v>1</v>
      </c>
      <c r="I55" t="s">
        <v>13</v>
      </c>
      <c r="J55">
        <v>17.55</v>
      </c>
    </row>
    <row r="56" spans="1:10" x14ac:dyDescent="0.25">
      <c r="A56" t="s">
        <v>16</v>
      </c>
      <c r="B56">
        <v>7</v>
      </c>
      <c r="C56">
        <v>27.6</v>
      </c>
      <c r="D56">
        <v>27.6</v>
      </c>
      <c r="E56">
        <v>0</v>
      </c>
      <c r="F56">
        <v>15</v>
      </c>
      <c r="G56">
        <v>414</v>
      </c>
      <c r="H56" t="b">
        <v>0</v>
      </c>
      <c r="I56" t="s">
        <v>13</v>
      </c>
      <c r="J56">
        <v>16.62</v>
      </c>
    </row>
    <row r="57" spans="1:10" x14ac:dyDescent="0.25">
      <c r="A57" t="s">
        <v>16</v>
      </c>
      <c r="B57">
        <v>8</v>
      </c>
      <c r="C57">
        <v>27.6</v>
      </c>
      <c r="D57">
        <v>27.6</v>
      </c>
      <c r="E57">
        <v>0</v>
      </c>
      <c r="F57">
        <v>19</v>
      </c>
      <c r="G57">
        <v>524.4</v>
      </c>
      <c r="H57" t="b">
        <v>0</v>
      </c>
      <c r="I57" t="s">
        <v>13</v>
      </c>
      <c r="J57">
        <v>15.69</v>
      </c>
    </row>
    <row r="58" spans="1:10" x14ac:dyDescent="0.25">
      <c r="A58" t="s">
        <v>16</v>
      </c>
      <c r="B58">
        <v>9</v>
      </c>
      <c r="C58">
        <v>27.6</v>
      </c>
      <c r="D58">
        <v>27.6</v>
      </c>
      <c r="E58">
        <v>0</v>
      </c>
      <c r="F58">
        <v>18</v>
      </c>
      <c r="G58">
        <v>496.8</v>
      </c>
      <c r="H58" t="b">
        <v>0</v>
      </c>
      <c r="I58" t="s">
        <v>13</v>
      </c>
      <c r="J58">
        <v>14.76</v>
      </c>
    </row>
    <row r="59" spans="1:10" x14ac:dyDescent="0.25">
      <c r="A59" t="s">
        <v>16</v>
      </c>
      <c r="B59">
        <v>10</v>
      </c>
      <c r="C59">
        <v>27.6</v>
      </c>
      <c r="D59">
        <v>27.6</v>
      </c>
      <c r="E59">
        <v>0</v>
      </c>
      <c r="F59">
        <v>12</v>
      </c>
      <c r="G59">
        <v>331.2</v>
      </c>
      <c r="H59" t="b">
        <v>0</v>
      </c>
      <c r="I59" t="s">
        <v>13</v>
      </c>
      <c r="J59">
        <v>13.83</v>
      </c>
    </row>
    <row r="60" spans="1:10" x14ac:dyDescent="0.25">
      <c r="A60" t="s">
        <v>16</v>
      </c>
      <c r="B60">
        <v>11</v>
      </c>
      <c r="C60">
        <v>27.6</v>
      </c>
      <c r="D60">
        <v>27.6</v>
      </c>
      <c r="E60">
        <v>0</v>
      </c>
      <c r="F60">
        <v>14</v>
      </c>
      <c r="G60">
        <v>386.4</v>
      </c>
      <c r="H60" t="b">
        <v>0</v>
      </c>
      <c r="I60" t="s">
        <v>13</v>
      </c>
      <c r="J60">
        <v>12.9</v>
      </c>
    </row>
    <row r="61" spans="1:10" x14ac:dyDescent="0.25">
      <c r="A61" t="s">
        <v>16</v>
      </c>
      <c r="B61">
        <v>12</v>
      </c>
      <c r="C61">
        <v>27.6</v>
      </c>
      <c r="D61">
        <v>27.6</v>
      </c>
      <c r="E61">
        <v>0</v>
      </c>
      <c r="F61">
        <v>9</v>
      </c>
      <c r="G61">
        <v>248.4</v>
      </c>
      <c r="H61" t="b">
        <v>0</v>
      </c>
      <c r="I61" t="s">
        <v>13</v>
      </c>
      <c r="J61">
        <v>11.97</v>
      </c>
    </row>
    <row r="62" spans="1:10" x14ac:dyDescent="0.25">
      <c r="A62" t="s">
        <v>17</v>
      </c>
      <c r="B62">
        <v>1</v>
      </c>
      <c r="C62">
        <v>84.87</v>
      </c>
      <c r="D62">
        <v>84.87</v>
      </c>
      <c r="E62">
        <v>0</v>
      </c>
      <c r="F62">
        <v>28</v>
      </c>
      <c r="G62">
        <v>2376.36</v>
      </c>
      <c r="H62" t="b">
        <v>0</v>
      </c>
      <c r="I62" t="s">
        <v>18</v>
      </c>
      <c r="J62">
        <v>28</v>
      </c>
    </row>
    <row r="63" spans="1:10" x14ac:dyDescent="0.25">
      <c r="A63" t="s">
        <v>17</v>
      </c>
      <c r="B63">
        <v>2</v>
      </c>
      <c r="C63">
        <v>84.87</v>
      </c>
      <c r="D63">
        <v>84.87</v>
      </c>
      <c r="E63">
        <v>0</v>
      </c>
      <c r="F63">
        <v>21</v>
      </c>
      <c r="G63">
        <v>1782.27</v>
      </c>
      <c r="H63" t="b">
        <v>0</v>
      </c>
      <c r="I63" t="s">
        <v>18</v>
      </c>
      <c r="J63">
        <v>21</v>
      </c>
    </row>
    <row r="64" spans="1:10" x14ac:dyDescent="0.25">
      <c r="A64" t="s">
        <v>17</v>
      </c>
      <c r="B64">
        <v>3</v>
      </c>
      <c r="C64">
        <v>84.87</v>
      </c>
      <c r="D64">
        <v>84.87</v>
      </c>
      <c r="E64">
        <v>0</v>
      </c>
      <c r="F64">
        <v>24</v>
      </c>
      <c r="G64">
        <v>2036.88</v>
      </c>
      <c r="H64" t="b">
        <v>0</v>
      </c>
      <c r="I64" t="s">
        <v>18</v>
      </c>
      <c r="J64">
        <v>24</v>
      </c>
    </row>
    <row r="65" spans="1:10" x14ac:dyDescent="0.25">
      <c r="A65" t="s">
        <v>17</v>
      </c>
      <c r="B65">
        <v>4</v>
      </c>
      <c r="C65">
        <v>84.87</v>
      </c>
      <c r="D65">
        <v>84.87</v>
      </c>
      <c r="E65">
        <v>0</v>
      </c>
      <c r="F65">
        <v>22</v>
      </c>
      <c r="G65">
        <v>1867.14</v>
      </c>
      <c r="H65" t="b">
        <v>0</v>
      </c>
      <c r="I65" t="s">
        <v>18</v>
      </c>
      <c r="J65">
        <v>22</v>
      </c>
    </row>
    <row r="66" spans="1:10" x14ac:dyDescent="0.25">
      <c r="A66" t="s">
        <v>17</v>
      </c>
      <c r="B66">
        <v>5</v>
      </c>
      <c r="C66">
        <v>84.87</v>
      </c>
      <c r="D66">
        <v>84.87</v>
      </c>
      <c r="E66">
        <v>0</v>
      </c>
      <c r="F66">
        <v>19</v>
      </c>
      <c r="G66">
        <v>1612.53</v>
      </c>
      <c r="H66" t="b">
        <v>1</v>
      </c>
      <c r="I66" t="s">
        <v>18</v>
      </c>
      <c r="J66">
        <v>19</v>
      </c>
    </row>
    <row r="67" spans="1:10" x14ac:dyDescent="0.25">
      <c r="A67" t="s">
        <v>17</v>
      </c>
      <c r="B67">
        <v>6</v>
      </c>
      <c r="C67">
        <v>84.87</v>
      </c>
      <c r="D67">
        <v>84.87</v>
      </c>
      <c r="E67">
        <v>0</v>
      </c>
      <c r="F67">
        <v>17</v>
      </c>
      <c r="G67">
        <v>1442.79</v>
      </c>
      <c r="H67" t="b">
        <v>1</v>
      </c>
      <c r="I67" t="s">
        <v>18</v>
      </c>
      <c r="J67">
        <v>17</v>
      </c>
    </row>
    <row r="68" spans="1:10" x14ac:dyDescent="0.25">
      <c r="A68" t="s">
        <v>17</v>
      </c>
      <c r="B68">
        <v>7</v>
      </c>
      <c r="C68">
        <v>84.87</v>
      </c>
      <c r="D68">
        <v>84.87</v>
      </c>
      <c r="E68">
        <v>0</v>
      </c>
      <c r="F68">
        <v>20</v>
      </c>
      <c r="G68">
        <v>1697.4</v>
      </c>
      <c r="H68" t="b">
        <v>0</v>
      </c>
      <c r="I68" t="s">
        <v>18</v>
      </c>
      <c r="J68">
        <v>20</v>
      </c>
    </row>
    <row r="69" spans="1:10" x14ac:dyDescent="0.25">
      <c r="A69" t="s">
        <v>17</v>
      </c>
      <c r="B69">
        <v>8</v>
      </c>
      <c r="C69">
        <v>84.87</v>
      </c>
      <c r="D69">
        <v>84.87</v>
      </c>
      <c r="E69">
        <v>0</v>
      </c>
      <c r="F69">
        <v>19</v>
      </c>
      <c r="G69">
        <v>1612.53</v>
      </c>
      <c r="H69" t="b">
        <v>0</v>
      </c>
      <c r="I69" t="s">
        <v>18</v>
      </c>
      <c r="J69">
        <v>19</v>
      </c>
    </row>
    <row r="70" spans="1:10" x14ac:dyDescent="0.25">
      <c r="A70" t="s">
        <v>17</v>
      </c>
      <c r="B70">
        <v>9</v>
      </c>
      <c r="C70">
        <v>84.87</v>
      </c>
      <c r="D70">
        <v>84.87</v>
      </c>
      <c r="E70">
        <v>0</v>
      </c>
      <c r="F70">
        <v>17</v>
      </c>
      <c r="G70">
        <v>1442.79</v>
      </c>
      <c r="H70" t="b">
        <v>0</v>
      </c>
      <c r="I70" t="s">
        <v>18</v>
      </c>
      <c r="J70">
        <v>17</v>
      </c>
    </row>
    <row r="71" spans="1:10" x14ac:dyDescent="0.25">
      <c r="A71" t="s">
        <v>17</v>
      </c>
      <c r="B71">
        <v>10</v>
      </c>
      <c r="C71">
        <v>84.87</v>
      </c>
      <c r="D71">
        <v>84.87</v>
      </c>
      <c r="E71">
        <v>0</v>
      </c>
      <c r="F71">
        <v>16</v>
      </c>
      <c r="G71">
        <v>1357.92</v>
      </c>
      <c r="H71" t="b">
        <v>0</v>
      </c>
      <c r="I71" t="s">
        <v>18</v>
      </c>
      <c r="J71">
        <v>16</v>
      </c>
    </row>
    <row r="72" spans="1:10" x14ac:dyDescent="0.25">
      <c r="A72" t="s">
        <v>17</v>
      </c>
      <c r="B72">
        <v>11</v>
      </c>
      <c r="C72">
        <v>84.87</v>
      </c>
      <c r="D72">
        <v>84.87</v>
      </c>
      <c r="E72">
        <v>0</v>
      </c>
      <c r="F72">
        <v>17</v>
      </c>
      <c r="G72">
        <v>1442.79</v>
      </c>
      <c r="H72" t="b">
        <v>0</v>
      </c>
      <c r="I72" t="s">
        <v>18</v>
      </c>
      <c r="J72">
        <v>17</v>
      </c>
    </row>
    <row r="73" spans="1:10" x14ac:dyDescent="0.25">
      <c r="A73" t="s">
        <v>17</v>
      </c>
      <c r="B73">
        <v>12</v>
      </c>
      <c r="C73">
        <v>84.87</v>
      </c>
      <c r="D73">
        <v>84.87</v>
      </c>
      <c r="E73">
        <v>0</v>
      </c>
      <c r="F73">
        <v>12</v>
      </c>
      <c r="G73">
        <v>1018.44</v>
      </c>
      <c r="H73" t="b">
        <v>0</v>
      </c>
      <c r="I73" t="s">
        <v>18</v>
      </c>
      <c r="J73">
        <v>12</v>
      </c>
    </row>
    <row r="74" spans="1:10" x14ac:dyDescent="0.25">
      <c r="A74" t="s">
        <v>19</v>
      </c>
      <c r="B74">
        <v>1</v>
      </c>
      <c r="C74">
        <v>51.04</v>
      </c>
      <c r="D74">
        <v>51.04</v>
      </c>
      <c r="E74">
        <v>0</v>
      </c>
      <c r="F74">
        <v>19</v>
      </c>
      <c r="G74">
        <v>969.76</v>
      </c>
      <c r="H74" t="b">
        <v>0</v>
      </c>
      <c r="I74" t="s">
        <v>18</v>
      </c>
      <c r="J74">
        <v>19</v>
      </c>
    </row>
    <row r="75" spans="1:10" x14ac:dyDescent="0.25">
      <c r="A75" t="s">
        <v>19</v>
      </c>
      <c r="B75">
        <v>2</v>
      </c>
      <c r="C75">
        <v>51.04</v>
      </c>
      <c r="D75">
        <v>51.04</v>
      </c>
      <c r="E75">
        <v>0</v>
      </c>
      <c r="F75">
        <v>19</v>
      </c>
      <c r="G75">
        <v>969.76</v>
      </c>
      <c r="H75" t="b">
        <v>0</v>
      </c>
      <c r="I75" t="s">
        <v>18</v>
      </c>
      <c r="J75">
        <v>19</v>
      </c>
    </row>
    <row r="76" spans="1:10" x14ac:dyDescent="0.25">
      <c r="A76" t="s">
        <v>19</v>
      </c>
      <c r="B76">
        <v>3</v>
      </c>
      <c r="C76">
        <v>51.04</v>
      </c>
      <c r="D76">
        <v>51.04</v>
      </c>
      <c r="E76">
        <v>0</v>
      </c>
      <c r="F76">
        <v>20</v>
      </c>
      <c r="G76">
        <v>1020.8</v>
      </c>
      <c r="H76" t="b">
        <v>0</v>
      </c>
      <c r="I76" t="s">
        <v>18</v>
      </c>
      <c r="J76">
        <v>20</v>
      </c>
    </row>
    <row r="77" spans="1:10" x14ac:dyDescent="0.25">
      <c r="A77" t="s">
        <v>19</v>
      </c>
      <c r="B77">
        <v>4</v>
      </c>
      <c r="C77">
        <v>51.04</v>
      </c>
      <c r="D77">
        <v>51.04</v>
      </c>
      <c r="E77">
        <v>0</v>
      </c>
      <c r="F77">
        <v>17</v>
      </c>
      <c r="G77">
        <v>867.68</v>
      </c>
      <c r="H77" t="b">
        <v>0</v>
      </c>
      <c r="I77" t="s">
        <v>18</v>
      </c>
      <c r="J77">
        <v>17</v>
      </c>
    </row>
    <row r="78" spans="1:10" x14ac:dyDescent="0.25">
      <c r="A78" t="s">
        <v>19</v>
      </c>
      <c r="B78">
        <v>5</v>
      </c>
      <c r="C78">
        <v>51.04</v>
      </c>
      <c r="D78">
        <v>51.04</v>
      </c>
      <c r="E78">
        <v>0</v>
      </c>
      <c r="F78">
        <v>20</v>
      </c>
      <c r="G78">
        <v>1020.8</v>
      </c>
      <c r="H78" t="b">
        <v>1</v>
      </c>
      <c r="I78" t="s">
        <v>18</v>
      </c>
      <c r="J78">
        <v>20</v>
      </c>
    </row>
    <row r="79" spans="1:10" x14ac:dyDescent="0.25">
      <c r="A79" t="s">
        <v>19</v>
      </c>
      <c r="B79">
        <v>6</v>
      </c>
      <c r="C79">
        <v>51.04</v>
      </c>
      <c r="D79">
        <v>51.04</v>
      </c>
      <c r="E79">
        <v>0</v>
      </c>
      <c r="F79">
        <v>14</v>
      </c>
      <c r="G79">
        <v>714.56</v>
      </c>
      <c r="H79" t="b">
        <v>1</v>
      </c>
      <c r="I79" t="s">
        <v>18</v>
      </c>
      <c r="J79">
        <v>14</v>
      </c>
    </row>
    <row r="80" spans="1:10" x14ac:dyDescent="0.25">
      <c r="A80" t="s">
        <v>19</v>
      </c>
      <c r="B80">
        <v>7</v>
      </c>
      <c r="C80">
        <v>51.04</v>
      </c>
      <c r="D80">
        <v>51.04</v>
      </c>
      <c r="E80">
        <v>0</v>
      </c>
      <c r="F80">
        <v>16</v>
      </c>
      <c r="G80">
        <v>816.64</v>
      </c>
      <c r="H80" t="b">
        <v>0</v>
      </c>
      <c r="I80" t="s">
        <v>18</v>
      </c>
      <c r="J80">
        <v>16</v>
      </c>
    </row>
    <row r="81" spans="1:10" x14ac:dyDescent="0.25">
      <c r="A81" t="s">
        <v>19</v>
      </c>
      <c r="B81">
        <v>8</v>
      </c>
      <c r="C81">
        <v>51.04</v>
      </c>
      <c r="D81">
        <v>51.04</v>
      </c>
      <c r="E81">
        <v>0</v>
      </c>
      <c r="F81">
        <v>16</v>
      </c>
      <c r="G81">
        <v>816.64</v>
      </c>
      <c r="H81" t="b">
        <v>0</v>
      </c>
      <c r="I81" t="s">
        <v>18</v>
      </c>
      <c r="J81">
        <v>16</v>
      </c>
    </row>
    <row r="82" spans="1:10" x14ac:dyDescent="0.25">
      <c r="A82" t="s">
        <v>19</v>
      </c>
      <c r="B82">
        <v>9</v>
      </c>
      <c r="C82">
        <v>51.04</v>
      </c>
      <c r="D82">
        <v>51.04</v>
      </c>
      <c r="E82">
        <v>0</v>
      </c>
      <c r="F82">
        <v>16</v>
      </c>
      <c r="G82">
        <v>816.64</v>
      </c>
      <c r="H82" t="b">
        <v>0</v>
      </c>
      <c r="I82" t="s">
        <v>18</v>
      </c>
      <c r="J82">
        <v>16</v>
      </c>
    </row>
    <row r="83" spans="1:10" x14ac:dyDescent="0.25">
      <c r="A83" t="s">
        <v>19</v>
      </c>
      <c r="B83">
        <v>10</v>
      </c>
      <c r="C83">
        <v>51.04</v>
      </c>
      <c r="D83">
        <v>51.04</v>
      </c>
      <c r="E83">
        <v>0</v>
      </c>
      <c r="F83">
        <v>15</v>
      </c>
      <c r="G83">
        <v>765.6</v>
      </c>
      <c r="H83" t="b">
        <v>0</v>
      </c>
      <c r="I83" t="s">
        <v>18</v>
      </c>
      <c r="J83">
        <v>15</v>
      </c>
    </row>
    <row r="84" spans="1:10" x14ac:dyDescent="0.25">
      <c r="A84" t="s">
        <v>19</v>
      </c>
      <c r="B84">
        <v>11</v>
      </c>
      <c r="C84">
        <v>51.04</v>
      </c>
      <c r="D84">
        <v>51.04</v>
      </c>
      <c r="E84">
        <v>0</v>
      </c>
      <c r="F84">
        <v>17</v>
      </c>
      <c r="G84">
        <v>867.68</v>
      </c>
      <c r="H84" t="b">
        <v>0</v>
      </c>
      <c r="I84" t="s">
        <v>18</v>
      </c>
      <c r="J84">
        <v>17</v>
      </c>
    </row>
    <row r="85" spans="1:10" x14ac:dyDescent="0.25">
      <c r="A85" t="s">
        <v>19</v>
      </c>
      <c r="B85">
        <v>12</v>
      </c>
      <c r="C85">
        <v>51.04</v>
      </c>
      <c r="D85">
        <v>51.04</v>
      </c>
      <c r="E85">
        <v>0</v>
      </c>
      <c r="F85">
        <v>10</v>
      </c>
      <c r="G85">
        <v>510.4</v>
      </c>
      <c r="H85" t="b">
        <v>0</v>
      </c>
      <c r="I85" t="s">
        <v>18</v>
      </c>
      <c r="J85">
        <v>10</v>
      </c>
    </row>
    <row r="86" spans="1:10" x14ac:dyDescent="0.25">
      <c r="A86" t="s">
        <v>20</v>
      </c>
      <c r="B86">
        <v>1</v>
      </c>
      <c r="C86">
        <v>58.82</v>
      </c>
      <c r="D86">
        <v>58.82</v>
      </c>
      <c r="E86">
        <v>0</v>
      </c>
      <c r="F86">
        <v>28</v>
      </c>
      <c r="G86">
        <v>1646.96</v>
      </c>
      <c r="H86" t="b">
        <v>0</v>
      </c>
      <c r="I86" t="s">
        <v>18</v>
      </c>
      <c r="J86">
        <v>28</v>
      </c>
    </row>
    <row r="87" spans="1:10" x14ac:dyDescent="0.25">
      <c r="A87" t="s">
        <v>20</v>
      </c>
      <c r="B87">
        <v>2</v>
      </c>
      <c r="C87">
        <v>58.82</v>
      </c>
      <c r="D87">
        <v>58.82</v>
      </c>
      <c r="E87">
        <v>0</v>
      </c>
      <c r="F87">
        <v>28</v>
      </c>
      <c r="G87">
        <v>1646.96</v>
      </c>
      <c r="H87" t="b">
        <v>0</v>
      </c>
      <c r="I87" t="s">
        <v>18</v>
      </c>
      <c r="J87">
        <v>28</v>
      </c>
    </row>
    <row r="88" spans="1:10" x14ac:dyDescent="0.25">
      <c r="A88" t="s">
        <v>20</v>
      </c>
      <c r="B88">
        <v>3</v>
      </c>
      <c r="C88">
        <v>58.82</v>
      </c>
      <c r="D88">
        <v>58.82</v>
      </c>
      <c r="E88">
        <v>0</v>
      </c>
      <c r="F88">
        <v>26</v>
      </c>
      <c r="G88">
        <v>1529.32</v>
      </c>
      <c r="H88" t="b">
        <v>0</v>
      </c>
      <c r="I88" t="s">
        <v>18</v>
      </c>
      <c r="J88">
        <v>26</v>
      </c>
    </row>
    <row r="89" spans="1:10" x14ac:dyDescent="0.25">
      <c r="A89" t="s">
        <v>20</v>
      </c>
      <c r="B89">
        <v>4</v>
      </c>
      <c r="C89">
        <v>58.82</v>
      </c>
      <c r="D89">
        <v>58.82</v>
      </c>
      <c r="E89">
        <v>0</v>
      </c>
      <c r="F89">
        <v>20</v>
      </c>
      <c r="G89">
        <v>1176.4000000000001</v>
      </c>
      <c r="H89" t="b">
        <v>0</v>
      </c>
      <c r="I89" t="s">
        <v>18</v>
      </c>
      <c r="J89">
        <v>20</v>
      </c>
    </row>
    <row r="90" spans="1:10" x14ac:dyDescent="0.25">
      <c r="A90" t="s">
        <v>20</v>
      </c>
      <c r="B90">
        <v>5</v>
      </c>
      <c r="C90">
        <v>58.82</v>
      </c>
      <c r="D90">
        <v>58.82</v>
      </c>
      <c r="E90">
        <v>0</v>
      </c>
      <c r="F90">
        <v>23</v>
      </c>
      <c r="G90">
        <v>1352.86</v>
      </c>
      <c r="H90" t="b">
        <v>1</v>
      </c>
      <c r="I90" t="s">
        <v>18</v>
      </c>
      <c r="J90">
        <v>23</v>
      </c>
    </row>
    <row r="91" spans="1:10" x14ac:dyDescent="0.25">
      <c r="A91" t="s">
        <v>20</v>
      </c>
      <c r="B91">
        <v>6</v>
      </c>
      <c r="C91">
        <v>58.82</v>
      </c>
      <c r="D91">
        <v>58.82</v>
      </c>
      <c r="E91">
        <v>0</v>
      </c>
      <c r="F91">
        <v>20</v>
      </c>
      <c r="G91">
        <v>1176.4000000000001</v>
      </c>
      <c r="H91" t="b">
        <v>1</v>
      </c>
      <c r="I91" t="s">
        <v>18</v>
      </c>
      <c r="J91">
        <v>20</v>
      </c>
    </row>
    <row r="92" spans="1:10" x14ac:dyDescent="0.25">
      <c r="A92" t="s">
        <v>20</v>
      </c>
      <c r="B92">
        <v>7</v>
      </c>
      <c r="C92">
        <v>58.82</v>
      </c>
      <c r="D92">
        <v>58.82</v>
      </c>
      <c r="E92">
        <v>0</v>
      </c>
      <c r="F92">
        <v>19</v>
      </c>
      <c r="G92">
        <v>1117.58</v>
      </c>
      <c r="H92" t="b">
        <v>0</v>
      </c>
      <c r="I92" t="s">
        <v>18</v>
      </c>
      <c r="J92">
        <v>19</v>
      </c>
    </row>
    <row r="93" spans="1:10" x14ac:dyDescent="0.25">
      <c r="A93" t="s">
        <v>20</v>
      </c>
      <c r="B93">
        <v>8</v>
      </c>
      <c r="C93">
        <v>58.82</v>
      </c>
      <c r="D93">
        <v>58.82</v>
      </c>
      <c r="E93">
        <v>0</v>
      </c>
      <c r="F93">
        <v>24</v>
      </c>
      <c r="G93">
        <v>1411.68</v>
      </c>
      <c r="H93" t="b">
        <v>0</v>
      </c>
      <c r="I93" t="s">
        <v>18</v>
      </c>
      <c r="J93">
        <v>24</v>
      </c>
    </row>
    <row r="94" spans="1:10" x14ac:dyDescent="0.25">
      <c r="A94" t="s">
        <v>20</v>
      </c>
      <c r="B94">
        <v>9</v>
      </c>
      <c r="C94">
        <v>58.82</v>
      </c>
      <c r="D94">
        <v>58.82</v>
      </c>
      <c r="E94">
        <v>0</v>
      </c>
      <c r="F94">
        <v>20</v>
      </c>
      <c r="G94">
        <v>1176.4000000000001</v>
      </c>
      <c r="H94" t="b">
        <v>0</v>
      </c>
      <c r="I94" t="s">
        <v>18</v>
      </c>
      <c r="J94">
        <v>20</v>
      </c>
    </row>
    <row r="95" spans="1:10" x14ac:dyDescent="0.25">
      <c r="A95" t="s">
        <v>20</v>
      </c>
      <c r="B95">
        <v>10</v>
      </c>
      <c r="C95">
        <v>58.82</v>
      </c>
      <c r="D95">
        <v>58.82</v>
      </c>
      <c r="E95">
        <v>0</v>
      </c>
      <c r="F95">
        <v>21</v>
      </c>
      <c r="G95">
        <v>1235.22</v>
      </c>
      <c r="H95" t="b">
        <v>0</v>
      </c>
      <c r="I95" t="s">
        <v>18</v>
      </c>
      <c r="J95">
        <v>21</v>
      </c>
    </row>
    <row r="96" spans="1:10" x14ac:dyDescent="0.25">
      <c r="A96" t="s">
        <v>20</v>
      </c>
      <c r="B96">
        <v>11</v>
      </c>
      <c r="C96">
        <v>58.82</v>
      </c>
      <c r="D96">
        <v>58.82</v>
      </c>
      <c r="E96">
        <v>0</v>
      </c>
      <c r="F96">
        <v>17</v>
      </c>
      <c r="G96">
        <v>999.94</v>
      </c>
      <c r="H96" t="b">
        <v>0</v>
      </c>
      <c r="I96" t="s">
        <v>18</v>
      </c>
      <c r="J96">
        <v>17</v>
      </c>
    </row>
    <row r="97" spans="1:10" x14ac:dyDescent="0.25">
      <c r="A97" t="s">
        <v>20</v>
      </c>
      <c r="B97">
        <v>12</v>
      </c>
      <c r="C97">
        <v>58.82</v>
      </c>
      <c r="D97">
        <v>58.82</v>
      </c>
      <c r="E97">
        <v>0</v>
      </c>
      <c r="F97">
        <v>16</v>
      </c>
      <c r="G97">
        <v>941.12</v>
      </c>
      <c r="H97" t="b">
        <v>0</v>
      </c>
      <c r="I97" t="s">
        <v>18</v>
      </c>
      <c r="J97">
        <v>16</v>
      </c>
    </row>
    <row r="98" spans="1:10" x14ac:dyDescent="0.25">
      <c r="A98" t="s">
        <v>21</v>
      </c>
      <c r="B98">
        <v>1</v>
      </c>
      <c r="C98">
        <v>64.22</v>
      </c>
      <c r="D98">
        <v>64.22</v>
      </c>
      <c r="E98">
        <v>0</v>
      </c>
      <c r="F98">
        <v>8</v>
      </c>
      <c r="G98">
        <v>513.76</v>
      </c>
      <c r="H98" t="b">
        <v>0</v>
      </c>
      <c r="I98" t="s">
        <v>18</v>
      </c>
      <c r="J98">
        <v>8</v>
      </c>
    </row>
    <row r="99" spans="1:10" x14ac:dyDescent="0.25">
      <c r="A99" t="s">
        <v>21</v>
      </c>
      <c r="B99">
        <v>2</v>
      </c>
      <c r="C99">
        <v>64.22</v>
      </c>
      <c r="D99">
        <v>64.22</v>
      </c>
      <c r="E99">
        <v>0</v>
      </c>
      <c r="F99">
        <v>7</v>
      </c>
      <c r="G99">
        <v>449.54</v>
      </c>
      <c r="H99" t="b">
        <v>0</v>
      </c>
      <c r="I99" t="s">
        <v>18</v>
      </c>
      <c r="J99">
        <v>7</v>
      </c>
    </row>
    <row r="100" spans="1:10" x14ac:dyDescent="0.25">
      <c r="A100" t="s">
        <v>21</v>
      </c>
      <c r="B100">
        <v>3</v>
      </c>
      <c r="C100">
        <v>64.22</v>
      </c>
      <c r="D100">
        <v>64.22</v>
      </c>
      <c r="E100">
        <v>0</v>
      </c>
      <c r="F100">
        <v>6</v>
      </c>
      <c r="G100">
        <v>385.32</v>
      </c>
      <c r="H100" t="b">
        <v>0</v>
      </c>
      <c r="I100" t="s">
        <v>18</v>
      </c>
      <c r="J100">
        <v>6</v>
      </c>
    </row>
    <row r="101" spans="1:10" x14ac:dyDescent="0.25">
      <c r="A101" t="s">
        <v>21</v>
      </c>
      <c r="B101">
        <v>4</v>
      </c>
      <c r="C101">
        <v>64.22</v>
      </c>
      <c r="D101">
        <v>64.22</v>
      </c>
      <c r="E101">
        <v>0</v>
      </c>
      <c r="F101">
        <v>7</v>
      </c>
      <c r="G101">
        <v>449.54</v>
      </c>
      <c r="H101" t="b">
        <v>0</v>
      </c>
      <c r="I101" t="s">
        <v>18</v>
      </c>
      <c r="J101">
        <v>7</v>
      </c>
    </row>
    <row r="102" spans="1:10" x14ac:dyDescent="0.25">
      <c r="A102" t="s">
        <v>21</v>
      </c>
      <c r="B102">
        <v>5</v>
      </c>
      <c r="C102">
        <v>64.22</v>
      </c>
      <c r="D102">
        <v>64.22</v>
      </c>
      <c r="E102">
        <v>0</v>
      </c>
      <c r="F102">
        <v>6</v>
      </c>
      <c r="G102">
        <v>385.32</v>
      </c>
      <c r="H102" t="b">
        <v>1</v>
      </c>
      <c r="I102" t="s">
        <v>18</v>
      </c>
      <c r="J102">
        <v>6</v>
      </c>
    </row>
    <row r="103" spans="1:10" x14ac:dyDescent="0.25">
      <c r="A103" t="s">
        <v>21</v>
      </c>
      <c r="B103">
        <v>6</v>
      </c>
      <c r="C103">
        <v>64.22</v>
      </c>
      <c r="D103">
        <v>64.22</v>
      </c>
      <c r="E103">
        <v>0</v>
      </c>
      <c r="F103">
        <v>6</v>
      </c>
      <c r="G103">
        <v>385.32</v>
      </c>
      <c r="H103" t="b">
        <v>1</v>
      </c>
      <c r="I103" t="s">
        <v>18</v>
      </c>
      <c r="J103">
        <v>6</v>
      </c>
    </row>
    <row r="104" spans="1:10" x14ac:dyDescent="0.25">
      <c r="A104" t="s">
        <v>21</v>
      </c>
      <c r="B104">
        <v>7</v>
      </c>
      <c r="C104">
        <v>64.22</v>
      </c>
      <c r="D104">
        <v>64.22</v>
      </c>
      <c r="E104">
        <v>0</v>
      </c>
      <c r="F104">
        <v>5</v>
      </c>
      <c r="G104">
        <v>321.10000000000002</v>
      </c>
      <c r="H104" t="b">
        <v>0</v>
      </c>
      <c r="I104" t="s">
        <v>18</v>
      </c>
      <c r="J104">
        <v>5</v>
      </c>
    </row>
    <row r="105" spans="1:10" x14ac:dyDescent="0.25">
      <c r="A105" t="s">
        <v>21</v>
      </c>
      <c r="B105">
        <v>8</v>
      </c>
      <c r="C105">
        <v>64.22</v>
      </c>
      <c r="D105">
        <v>64.22</v>
      </c>
      <c r="E105">
        <v>0</v>
      </c>
      <c r="F105">
        <v>5</v>
      </c>
      <c r="G105">
        <v>321.10000000000002</v>
      </c>
      <c r="H105" t="b">
        <v>0</v>
      </c>
      <c r="I105" t="s">
        <v>18</v>
      </c>
      <c r="J105">
        <v>5</v>
      </c>
    </row>
    <row r="106" spans="1:10" x14ac:dyDescent="0.25">
      <c r="A106" t="s">
        <v>21</v>
      </c>
      <c r="B106">
        <v>9</v>
      </c>
      <c r="C106">
        <v>64.22</v>
      </c>
      <c r="D106">
        <v>64.22</v>
      </c>
      <c r="E106">
        <v>0</v>
      </c>
      <c r="F106">
        <v>6</v>
      </c>
      <c r="G106">
        <v>385.32</v>
      </c>
      <c r="H106" t="b">
        <v>0</v>
      </c>
      <c r="I106" t="s">
        <v>18</v>
      </c>
      <c r="J106">
        <v>6</v>
      </c>
    </row>
    <row r="107" spans="1:10" x14ac:dyDescent="0.25">
      <c r="A107" t="s">
        <v>21</v>
      </c>
      <c r="B107">
        <v>10</v>
      </c>
      <c r="C107">
        <v>64.22</v>
      </c>
      <c r="D107">
        <v>64.22</v>
      </c>
      <c r="E107">
        <v>0</v>
      </c>
      <c r="F107">
        <v>5</v>
      </c>
      <c r="G107">
        <v>321.10000000000002</v>
      </c>
      <c r="H107" t="b">
        <v>0</v>
      </c>
      <c r="I107" t="s">
        <v>18</v>
      </c>
      <c r="J107">
        <v>5</v>
      </c>
    </row>
    <row r="108" spans="1:10" x14ac:dyDescent="0.25">
      <c r="A108" t="s">
        <v>21</v>
      </c>
      <c r="B108">
        <v>11</v>
      </c>
      <c r="C108">
        <v>64.22</v>
      </c>
      <c r="D108">
        <v>64.22</v>
      </c>
      <c r="E108">
        <v>0</v>
      </c>
      <c r="F108">
        <v>5</v>
      </c>
      <c r="G108">
        <v>321.10000000000002</v>
      </c>
      <c r="H108" t="b">
        <v>0</v>
      </c>
      <c r="I108" t="s">
        <v>18</v>
      </c>
      <c r="J108">
        <v>5</v>
      </c>
    </row>
    <row r="109" spans="1:10" x14ac:dyDescent="0.25">
      <c r="A109" t="s">
        <v>21</v>
      </c>
      <c r="B109">
        <v>12</v>
      </c>
      <c r="C109">
        <v>64.22</v>
      </c>
      <c r="D109">
        <v>64.22</v>
      </c>
      <c r="E109">
        <v>0</v>
      </c>
      <c r="F109">
        <v>4</v>
      </c>
      <c r="G109">
        <v>256.88</v>
      </c>
      <c r="H109" t="b">
        <v>0</v>
      </c>
      <c r="I109" t="s">
        <v>18</v>
      </c>
      <c r="J109">
        <v>4</v>
      </c>
    </row>
    <row r="110" spans="1:10" x14ac:dyDescent="0.25">
      <c r="A110" t="s">
        <v>22</v>
      </c>
      <c r="B110">
        <v>1</v>
      </c>
      <c r="C110">
        <v>44.82</v>
      </c>
      <c r="D110">
        <v>44.82</v>
      </c>
      <c r="E110">
        <v>0</v>
      </c>
      <c r="F110">
        <v>7</v>
      </c>
      <c r="G110">
        <v>313.74</v>
      </c>
      <c r="H110" t="b">
        <v>0</v>
      </c>
      <c r="I110" t="s">
        <v>18</v>
      </c>
      <c r="J110">
        <v>7</v>
      </c>
    </row>
    <row r="111" spans="1:10" x14ac:dyDescent="0.25">
      <c r="A111" t="s">
        <v>22</v>
      </c>
      <c r="B111">
        <v>2</v>
      </c>
      <c r="C111">
        <v>44.82</v>
      </c>
      <c r="D111">
        <v>44.82</v>
      </c>
      <c r="E111">
        <v>0</v>
      </c>
      <c r="F111">
        <v>8</v>
      </c>
      <c r="G111">
        <v>358.56</v>
      </c>
      <c r="H111" t="b">
        <v>0</v>
      </c>
      <c r="I111" t="s">
        <v>18</v>
      </c>
      <c r="J111">
        <v>8</v>
      </c>
    </row>
    <row r="112" spans="1:10" x14ac:dyDescent="0.25">
      <c r="A112" t="s">
        <v>22</v>
      </c>
      <c r="B112">
        <v>3</v>
      </c>
      <c r="C112">
        <v>44.82</v>
      </c>
      <c r="D112">
        <v>44.82</v>
      </c>
      <c r="E112">
        <v>0</v>
      </c>
      <c r="F112">
        <v>6</v>
      </c>
      <c r="G112">
        <v>268.92</v>
      </c>
      <c r="H112" t="b">
        <v>0</v>
      </c>
      <c r="I112" t="s">
        <v>18</v>
      </c>
      <c r="J112">
        <v>6</v>
      </c>
    </row>
    <row r="113" spans="1:10" x14ac:dyDescent="0.25">
      <c r="A113" t="s">
        <v>22</v>
      </c>
      <c r="B113">
        <v>4</v>
      </c>
      <c r="C113">
        <v>44.82</v>
      </c>
      <c r="D113">
        <v>44.82</v>
      </c>
      <c r="E113">
        <v>0</v>
      </c>
      <c r="F113">
        <v>6</v>
      </c>
      <c r="G113">
        <v>268.92</v>
      </c>
      <c r="H113" t="b">
        <v>0</v>
      </c>
      <c r="I113" t="s">
        <v>18</v>
      </c>
      <c r="J113">
        <v>6</v>
      </c>
    </row>
    <row r="114" spans="1:10" x14ac:dyDescent="0.25">
      <c r="A114" t="s">
        <v>22</v>
      </c>
      <c r="B114">
        <v>5</v>
      </c>
      <c r="C114">
        <v>44.82</v>
      </c>
      <c r="D114">
        <v>44.82</v>
      </c>
      <c r="E114">
        <v>0</v>
      </c>
      <c r="F114">
        <v>6</v>
      </c>
      <c r="G114">
        <v>268.92</v>
      </c>
      <c r="H114" t="b">
        <v>1</v>
      </c>
      <c r="I114" t="s">
        <v>18</v>
      </c>
      <c r="J114">
        <v>6</v>
      </c>
    </row>
    <row r="115" spans="1:10" x14ac:dyDescent="0.25">
      <c r="A115" t="s">
        <v>22</v>
      </c>
      <c r="B115">
        <v>6</v>
      </c>
      <c r="C115">
        <v>44.82</v>
      </c>
      <c r="D115">
        <v>44.82</v>
      </c>
      <c r="E115">
        <v>0</v>
      </c>
      <c r="F115">
        <v>7</v>
      </c>
      <c r="G115">
        <v>313.74</v>
      </c>
      <c r="H115" t="b">
        <v>1</v>
      </c>
      <c r="I115" t="s">
        <v>18</v>
      </c>
      <c r="J115">
        <v>7</v>
      </c>
    </row>
    <row r="116" spans="1:10" x14ac:dyDescent="0.25">
      <c r="A116" t="s">
        <v>22</v>
      </c>
      <c r="B116">
        <v>7</v>
      </c>
      <c r="C116">
        <v>44.82</v>
      </c>
      <c r="D116">
        <v>44.82</v>
      </c>
      <c r="E116">
        <v>0</v>
      </c>
      <c r="F116">
        <v>6</v>
      </c>
      <c r="G116">
        <v>268.92</v>
      </c>
      <c r="H116" t="b">
        <v>0</v>
      </c>
      <c r="I116" t="s">
        <v>18</v>
      </c>
      <c r="J116">
        <v>6</v>
      </c>
    </row>
    <row r="117" spans="1:10" x14ac:dyDescent="0.25">
      <c r="A117" t="s">
        <v>22</v>
      </c>
      <c r="B117">
        <v>8</v>
      </c>
      <c r="C117">
        <v>44.82</v>
      </c>
      <c r="D117">
        <v>44.82</v>
      </c>
      <c r="E117">
        <v>0</v>
      </c>
      <c r="F117">
        <v>5</v>
      </c>
      <c r="G117">
        <v>224.1</v>
      </c>
      <c r="H117" t="b">
        <v>0</v>
      </c>
      <c r="I117" t="s">
        <v>18</v>
      </c>
      <c r="J117">
        <v>5</v>
      </c>
    </row>
    <row r="118" spans="1:10" x14ac:dyDescent="0.25">
      <c r="A118" t="s">
        <v>22</v>
      </c>
      <c r="B118">
        <v>9</v>
      </c>
      <c r="C118">
        <v>44.82</v>
      </c>
      <c r="D118">
        <v>44.82</v>
      </c>
      <c r="E118">
        <v>0</v>
      </c>
      <c r="F118">
        <v>6</v>
      </c>
      <c r="G118">
        <v>268.92</v>
      </c>
      <c r="H118" t="b">
        <v>0</v>
      </c>
      <c r="I118" t="s">
        <v>18</v>
      </c>
      <c r="J118">
        <v>6</v>
      </c>
    </row>
    <row r="119" spans="1:10" x14ac:dyDescent="0.25">
      <c r="A119" t="s">
        <v>22</v>
      </c>
      <c r="B119">
        <v>10</v>
      </c>
      <c r="C119">
        <v>44.82</v>
      </c>
      <c r="D119">
        <v>44.82</v>
      </c>
      <c r="E119">
        <v>0</v>
      </c>
      <c r="F119">
        <v>5</v>
      </c>
      <c r="G119">
        <v>224.1</v>
      </c>
      <c r="H119" t="b">
        <v>0</v>
      </c>
      <c r="I119" t="s">
        <v>18</v>
      </c>
      <c r="J119">
        <v>5</v>
      </c>
    </row>
    <row r="120" spans="1:10" x14ac:dyDescent="0.25">
      <c r="A120" t="s">
        <v>22</v>
      </c>
      <c r="B120">
        <v>11</v>
      </c>
      <c r="C120">
        <v>44.82</v>
      </c>
      <c r="D120">
        <v>44.82</v>
      </c>
      <c r="E120">
        <v>0</v>
      </c>
      <c r="F120">
        <v>5</v>
      </c>
      <c r="G120">
        <v>224.1</v>
      </c>
      <c r="H120" t="b">
        <v>0</v>
      </c>
      <c r="I120" t="s">
        <v>18</v>
      </c>
      <c r="J120">
        <v>5</v>
      </c>
    </row>
    <row r="121" spans="1:10" x14ac:dyDescent="0.25">
      <c r="A121" t="s">
        <v>22</v>
      </c>
      <c r="B121">
        <v>12</v>
      </c>
      <c r="C121">
        <v>44.82</v>
      </c>
      <c r="D121">
        <v>44.82</v>
      </c>
      <c r="E121">
        <v>0</v>
      </c>
      <c r="F121">
        <v>4</v>
      </c>
      <c r="G121">
        <v>179.28</v>
      </c>
      <c r="H121" t="b">
        <v>0</v>
      </c>
      <c r="I121" t="s">
        <v>18</v>
      </c>
      <c r="J121">
        <v>4</v>
      </c>
    </row>
    <row r="122" spans="1:10" x14ac:dyDescent="0.25">
      <c r="A122" t="s">
        <v>23</v>
      </c>
      <c r="B122">
        <v>1</v>
      </c>
      <c r="C122">
        <v>74.489999999999995</v>
      </c>
      <c r="D122">
        <v>74.489999999999995</v>
      </c>
      <c r="E122">
        <v>0</v>
      </c>
      <c r="F122">
        <v>31</v>
      </c>
      <c r="G122">
        <v>2309.19</v>
      </c>
      <c r="H122" t="b">
        <v>0</v>
      </c>
      <c r="I122" t="s">
        <v>18</v>
      </c>
      <c r="J122">
        <v>31</v>
      </c>
    </row>
    <row r="123" spans="1:10" x14ac:dyDescent="0.25">
      <c r="A123" t="s">
        <v>23</v>
      </c>
      <c r="B123">
        <v>2</v>
      </c>
      <c r="C123">
        <v>74.489999999999995</v>
      </c>
      <c r="D123">
        <v>74.489999999999995</v>
      </c>
      <c r="E123">
        <v>0</v>
      </c>
      <c r="F123">
        <v>28</v>
      </c>
      <c r="G123">
        <v>2085.7199999999998</v>
      </c>
      <c r="H123" t="b">
        <v>0</v>
      </c>
      <c r="I123" t="s">
        <v>18</v>
      </c>
      <c r="J123">
        <v>28</v>
      </c>
    </row>
    <row r="124" spans="1:10" x14ac:dyDescent="0.25">
      <c r="A124" t="s">
        <v>23</v>
      </c>
      <c r="B124">
        <v>3</v>
      </c>
      <c r="C124">
        <v>74.489999999999995</v>
      </c>
      <c r="D124">
        <v>74.489999999999995</v>
      </c>
      <c r="E124">
        <v>0</v>
      </c>
      <c r="F124">
        <v>25</v>
      </c>
      <c r="G124">
        <v>1862.25</v>
      </c>
      <c r="H124" t="b">
        <v>0</v>
      </c>
      <c r="I124" t="s">
        <v>18</v>
      </c>
      <c r="J124">
        <v>25</v>
      </c>
    </row>
    <row r="125" spans="1:10" x14ac:dyDescent="0.25">
      <c r="A125" t="s">
        <v>23</v>
      </c>
      <c r="B125">
        <v>4</v>
      </c>
      <c r="C125">
        <v>74.489999999999995</v>
      </c>
      <c r="D125">
        <v>74.489999999999995</v>
      </c>
      <c r="E125">
        <v>0</v>
      </c>
      <c r="F125">
        <v>27</v>
      </c>
      <c r="G125">
        <v>2011.23</v>
      </c>
      <c r="H125" t="b">
        <v>0</v>
      </c>
      <c r="I125" t="s">
        <v>18</v>
      </c>
      <c r="J125">
        <v>27</v>
      </c>
    </row>
    <row r="126" spans="1:10" x14ac:dyDescent="0.25">
      <c r="A126" t="s">
        <v>23</v>
      </c>
      <c r="B126">
        <v>5</v>
      </c>
      <c r="C126">
        <v>74.489999999999995</v>
      </c>
      <c r="D126">
        <v>74.489999999999995</v>
      </c>
      <c r="E126">
        <v>0</v>
      </c>
      <c r="F126">
        <v>27</v>
      </c>
      <c r="G126">
        <v>2011.23</v>
      </c>
      <c r="H126" t="b">
        <v>1</v>
      </c>
      <c r="I126" t="s">
        <v>18</v>
      </c>
      <c r="J126">
        <v>27</v>
      </c>
    </row>
    <row r="127" spans="1:10" x14ac:dyDescent="0.25">
      <c r="A127" t="s">
        <v>23</v>
      </c>
      <c r="B127">
        <v>6</v>
      </c>
      <c r="C127">
        <v>74.489999999999995</v>
      </c>
      <c r="D127">
        <v>74.489999999999995</v>
      </c>
      <c r="E127">
        <v>0</v>
      </c>
      <c r="F127">
        <v>23</v>
      </c>
      <c r="G127">
        <v>1713.27</v>
      </c>
      <c r="H127" t="b">
        <v>1</v>
      </c>
      <c r="I127" t="s">
        <v>18</v>
      </c>
      <c r="J127">
        <v>23</v>
      </c>
    </row>
    <row r="128" spans="1:10" x14ac:dyDescent="0.25">
      <c r="A128" t="s">
        <v>23</v>
      </c>
      <c r="B128">
        <v>7</v>
      </c>
      <c r="C128">
        <v>74.489999999999995</v>
      </c>
      <c r="D128">
        <v>74.489999999999995</v>
      </c>
      <c r="E128">
        <v>0</v>
      </c>
      <c r="F128">
        <v>27</v>
      </c>
      <c r="G128">
        <v>2011.23</v>
      </c>
      <c r="H128" t="b">
        <v>0</v>
      </c>
      <c r="I128" t="s">
        <v>18</v>
      </c>
      <c r="J128">
        <v>27</v>
      </c>
    </row>
    <row r="129" spans="1:10" x14ac:dyDescent="0.25">
      <c r="A129" t="s">
        <v>23</v>
      </c>
      <c r="B129">
        <v>8</v>
      </c>
      <c r="C129">
        <v>74.489999999999995</v>
      </c>
      <c r="D129">
        <v>74.489999999999995</v>
      </c>
      <c r="E129">
        <v>0</v>
      </c>
      <c r="F129">
        <v>25</v>
      </c>
      <c r="G129">
        <v>1862.25</v>
      </c>
      <c r="H129" t="b">
        <v>0</v>
      </c>
      <c r="I129" t="s">
        <v>18</v>
      </c>
      <c r="J129">
        <v>25</v>
      </c>
    </row>
    <row r="130" spans="1:10" x14ac:dyDescent="0.25">
      <c r="A130" t="s">
        <v>23</v>
      </c>
      <c r="B130">
        <v>9</v>
      </c>
      <c r="C130">
        <v>74.489999999999995</v>
      </c>
      <c r="D130">
        <v>74.489999999999995</v>
      </c>
      <c r="E130">
        <v>0</v>
      </c>
      <c r="F130">
        <v>24</v>
      </c>
      <c r="G130">
        <v>1787.76</v>
      </c>
      <c r="H130" t="b">
        <v>0</v>
      </c>
      <c r="I130" t="s">
        <v>18</v>
      </c>
      <c r="J130">
        <v>24</v>
      </c>
    </row>
    <row r="131" spans="1:10" x14ac:dyDescent="0.25">
      <c r="A131" t="s">
        <v>23</v>
      </c>
      <c r="B131">
        <v>10</v>
      </c>
      <c r="C131">
        <v>74.489999999999995</v>
      </c>
      <c r="D131">
        <v>74.489999999999995</v>
      </c>
      <c r="E131">
        <v>0</v>
      </c>
      <c r="F131">
        <v>16</v>
      </c>
      <c r="G131">
        <v>1191.8399999999999</v>
      </c>
      <c r="H131" t="b">
        <v>0</v>
      </c>
      <c r="I131" t="s">
        <v>18</v>
      </c>
      <c r="J131">
        <v>16</v>
      </c>
    </row>
    <row r="132" spans="1:10" x14ac:dyDescent="0.25">
      <c r="A132" t="s">
        <v>23</v>
      </c>
      <c r="B132">
        <v>11</v>
      </c>
      <c r="C132">
        <v>74.489999999999995</v>
      </c>
      <c r="D132">
        <v>74.489999999999995</v>
      </c>
      <c r="E132">
        <v>0</v>
      </c>
      <c r="F132">
        <v>21</v>
      </c>
      <c r="G132">
        <v>1564.29</v>
      </c>
      <c r="H132" t="b">
        <v>0</v>
      </c>
      <c r="I132" t="s">
        <v>18</v>
      </c>
      <c r="J132">
        <v>21</v>
      </c>
    </row>
    <row r="133" spans="1:10" x14ac:dyDescent="0.25">
      <c r="A133" t="s">
        <v>23</v>
      </c>
      <c r="B133">
        <v>12</v>
      </c>
      <c r="C133">
        <v>74.489999999999995</v>
      </c>
      <c r="D133">
        <v>74.489999999999995</v>
      </c>
      <c r="E133">
        <v>0</v>
      </c>
      <c r="F133">
        <v>13</v>
      </c>
      <c r="G133">
        <v>968.37</v>
      </c>
      <c r="H133" t="b">
        <v>0</v>
      </c>
      <c r="I133" t="s">
        <v>18</v>
      </c>
      <c r="J133">
        <v>13</v>
      </c>
    </row>
    <row r="134" spans="1:10" x14ac:dyDescent="0.25">
      <c r="A134" t="s">
        <v>24</v>
      </c>
      <c r="B134">
        <v>1</v>
      </c>
      <c r="C134">
        <v>52.67</v>
      </c>
      <c r="D134">
        <v>52.67</v>
      </c>
      <c r="E134">
        <v>0</v>
      </c>
      <c r="F134">
        <v>21</v>
      </c>
      <c r="G134">
        <v>1106.07</v>
      </c>
      <c r="H134" t="b">
        <v>0</v>
      </c>
      <c r="I134" t="s">
        <v>18</v>
      </c>
      <c r="J134">
        <v>21</v>
      </c>
    </row>
    <row r="135" spans="1:10" x14ac:dyDescent="0.25">
      <c r="A135" t="s">
        <v>24</v>
      </c>
      <c r="B135">
        <v>2</v>
      </c>
      <c r="C135">
        <v>52.67</v>
      </c>
      <c r="D135">
        <v>52.67</v>
      </c>
      <c r="E135">
        <v>0</v>
      </c>
      <c r="F135">
        <v>17</v>
      </c>
      <c r="G135">
        <v>895.39</v>
      </c>
      <c r="H135" t="b">
        <v>0</v>
      </c>
      <c r="I135" t="s">
        <v>18</v>
      </c>
      <c r="J135">
        <v>17</v>
      </c>
    </row>
    <row r="136" spans="1:10" x14ac:dyDescent="0.25">
      <c r="A136" t="s">
        <v>24</v>
      </c>
      <c r="B136">
        <v>3</v>
      </c>
      <c r="C136">
        <v>52.67</v>
      </c>
      <c r="D136">
        <v>52.67</v>
      </c>
      <c r="E136">
        <v>0</v>
      </c>
      <c r="F136">
        <v>15</v>
      </c>
      <c r="G136">
        <v>790.05</v>
      </c>
      <c r="H136" t="b">
        <v>0</v>
      </c>
      <c r="I136" t="s">
        <v>18</v>
      </c>
      <c r="J136">
        <v>15</v>
      </c>
    </row>
    <row r="137" spans="1:10" x14ac:dyDescent="0.25">
      <c r="A137" t="s">
        <v>24</v>
      </c>
      <c r="B137">
        <v>4</v>
      </c>
      <c r="C137">
        <v>52.67</v>
      </c>
      <c r="D137">
        <v>52.67</v>
      </c>
      <c r="E137">
        <v>0</v>
      </c>
      <c r="F137">
        <v>15</v>
      </c>
      <c r="G137">
        <v>790.05</v>
      </c>
      <c r="H137" t="b">
        <v>0</v>
      </c>
      <c r="I137" t="s">
        <v>18</v>
      </c>
      <c r="J137">
        <v>15</v>
      </c>
    </row>
    <row r="138" spans="1:10" x14ac:dyDescent="0.25">
      <c r="A138" t="s">
        <v>24</v>
      </c>
      <c r="B138">
        <v>5</v>
      </c>
      <c r="C138">
        <v>52.67</v>
      </c>
      <c r="D138">
        <v>52.67</v>
      </c>
      <c r="E138">
        <v>0</v>
      </c>
      <c r="F138">
        <v>16</v>
      </c>
      <c r="G138">
        <v>842.72</v>
      </c>
      <c r="H138" t="b">
        <v>1</v>
      </c>
      <c r="I138" t="s">
        <v>18</v>
      </c>
      <c r="J138">
        <v>16</v>
      </c>
    </row>
    <row r="139" spans="1:10" x14ac:dyDescent="0.25">
      <c r="A139" t="s">
        <v>24</v>
      </c>
      <c r="B139">
        <v>6</v>
      </c>
      <c r="C139">
        <v>52.67</v>
      </c>
      <c r="D139">
        <v>52.67</v>
      </c>
      <c r="E139">
        <v>0</v>
      </c>
      <c r="F139">
        <v>15</v>
      </c>
      <c r="G139">
        <v>790.05</v>
      </c>
      <c r="H139" t="b">
        <v>1</v>
      </c>
      <c r="I139" t="s">
        <v>18</v>
      </c>
      <c r="J139">
        <v>15</v>
      </c>
    </row>
    <row r="140" spans="1:10" x14ac:dyDescent="0.25">
      <c r="A140" t="s">
        <v>24</v>
      </c>
      <c r="B140">
        <v>7</v>
      </c>
      <c r="C140">
        <v>52.67</v>
      </c>
      <c r="D140">
        <v>52.67</v>
      </c>
      <c r="E140">
        <v>0</v>
      </c>
      <c r="F140">
        <v>14</v>
      </c>
      <c r="G140">
        <v>737.38</v>
      </c>
      <c r="H140" t="b">
        <v>0</v>
      </c>
      <c r="I140" t="s">
        <v>18</v>
      </c>
      <c r="J140">
        <v>14</v>
      </c>
    </row>
    <row r="141" spans="1:10" x14ac:dyDescent="0.25">
      <c r="A141" t="s">
        <v>24</v>
      </c>
      <c r="B141">
        <v>8</v>
      </c>
      <c r="C141">
        <v>52.67</v>
      </c>
      <c r="D141">
        <v>52.67</v>
      </c>
      <c r="E141">
        <v>0</v>
      </c>
      <c r="F141">
        <v>13</v>
      </c>
      <c r="G141">
        <v>684.71</v>
      </c>
      <c r="H141" t="b">
        <v>0</v>
      </c>
      <c r="I141" t="s">
        <v>18</v>
      </c>
      <c r="J141">
        <v>13</v>
      </c>
    </row>
    <row r="142" spans="1:10" x14ac:dyDescent="0.25">
      <c r="A142" t="s">
        <v>24</v>
      </c>
      <c r="B142">
        <v>9</v>
      </c>
      <c r="C142">
        <v>52.67</v>
      </c>
      <c r="D142">
        <v>52.67</v>
      </c>
      <c r="E142">
        <v>0</v>
      </c>
      <c r="F142">
        <v>15</v>
      </c>
      <c r="G142">
        <v>790.05</v>
      </c>
      <c r="H142" t="b">
        <v>0</v>
      </c>
      <c r="I142" t="s">
        <v>18</v>
      </c>
      <c r="J142">
        <v>15</v>
      </c>
    </row>
    <row r="143" spans="1:10" x14ac:dyDescent="0.25">
      <c r="A143" t="s">
        <v>24</v>
      </c>
      <c r="B143">
        <v>10</v>
      </c>
      <c r="C143">
        <v>52.67</v>
      </c>
      <c r="D143">
        <v>52.67</v>
      </c>
      <c r="E143">
        <v>0</v>
      </c>
      <c r="F143">
        <v>12</v>
      </c>
      <c r="G143">
        <v>632.04</v>
      </c>
      <c r="H143" t="b">
        <v>0</v>
      </c>
      <c r="I143" t="s">
        <v>18</v>
      </c>
      <c r="J143">
        <v>12</v>
      </c>
    </row>
    <row r="144" spans="1:10" x14ac:dyDescent="0.25">
      <c r="A144" t="s">
        <v>24</v>
      </c>
      <c r="B144">
        <v>11</v>
      </c>
      <c r="C144">
        <v>52.67</v>
      </c>
      <c r="D144">
        <v>52.67</v>
      </c>
      <c r="E144">
        <v>0</v>
      </c>
      <c r="F144">
        <v>11</v>
      </c>
      <c r="G144">
        <v>579.37</v>
      </c>
      <c r="H144" t="b">
        <v>0</v>
      </c>
      <c r="I144" t="s">
        <v>18</v>
      </c>
      <c r="J144">
        <v>11</v>
      </c>
    </row>
    <row r="145" spans="1:10" x14ac:dyDescent="0.25">
      <c r="A145" t="s">
        <v>24</v>
      </c>
      <c r="B145">
        <v>12</v>
      </c>
      <c r="C145">
        <v>52.67</v>
      </c>
      <c r="D145">
        <v>52.67</v>
      </c>
      <c r="E145">
        <v>0</v>
      </c>
      <c r="F145">
        <v>7</v>
      </c>
      <c r="G145">
        <v>368.69</v>
      </c>
      <c r="H145" t="b">
        <v>0</v>
      </c>
      <c r="I145" t="s">
        <v>18</v>
      </c>
      <c r="J145">
        <v>7</v>
      </c>
    </row>
    <row r="146" spans="1:10" x14ac:dyDescent="0.25">
      <c r="A146" t="s">
        <v>25</v>
      </c>
      <c r="B146">
        <v>1</v>
      </c>
      <c r="C146">
        <v>67.81</v>
      </c>
      <c r="D146">
        <v>67.81</v>
      </c>
      <c r="E146">
        <v>0</v>
      </c>
      <c r="F146">
        <v>6</v>
      </c>
      <c r="G146">
        <v>406.86</v>
      </c>
      <c r="H146" t="b">
        <v>0</v>
      </c>
      <c r="I146" t="s">
        <v>18</v>
      </c>
      <c r="J146">
        <v>6</v>
      </c>
    </row>
    <row r="147" spans="1:10" x14ac:dyDescent="0.25">
      <c r="A147" t="s">
        <v>25</v>
      </c>
      <c r="B147">
        <v>2</v>
      </c>
      <c r="C147">
        <v>67.81</v>
      </c>
      <c r="D147">
        <v>67.81</v>
      </c>
      <c r="E147">
        <v>0</v>
      </c>
      <c r="F147">
        <v>6</v>
      </c>
      <c r="G147">
        <v>406.86</v>
      </c>
      <c r="H147" t="b">
        <v>0</v>
      </c>
      <c r="I147" t="s">
        <v>18</v>
      </c>
      <c r="J147">
        <v>6</v>
      </c>
    </row>
    <row r="148" spans="1:10" x14ac:dyDescent="0.25">
      <c r="A148" t="s">
        <v>25</v>
      </c>
      <c r="B148">
        <v>3</v>
      </c>
      <c r="C148">
        <v>67.81</v>
      </c>
      <c r="D148">
        <v>67.81</v>
      </c>
      <c r="E148">
        <v>0</v>
      </c>
      <c r="F148">
        <v>6</v>
      </c>
      <c r="G148">
        <v>406.86</v>
      </c>
      <c r="H148" t="b">
        <v>0</v>
      </c>
      <c r="I148" t="s">
        <v>18</v>
      </c>
      <c r="J148">
        <v>6</v>
      </c>
    </row>
    <row r="149" spans="1:10" x14ac:dyDescent="0.25">
      <c r="A149" t="s">
        <v>25</v>
      </c>
      <c r="B149">
        <v>4</v>
      </c>
      <c r="C149">
        <v>67.81</v>
      </c>
      <c r="D149">
        <v>67.81</v>
      </c>
      <c r="E149">
        <v>0</v>
      </c>
      <c r="F149">
        <v>6</v>
      </c>
      <c r="G149">
        <v>406.86</v>
      </c>
      <c r="H149" t="b">
        <v>0</v>
      </c>
      <c r="I149" t="s">
        <v>18</v>
      </c>
      <c r="J149">
        <v>6</v>
      </c>
    </row>
    <row r="150" spans="1:10" x14ac:dyDescent="0.25">
      <c r="A150" t="s">
        <v>25</v>
      </c>
      <c r="B150">
        <v>5</v>
      </c>
      <c r="C150">
        <v>67.81</v>
      </c>
      <c r="D150">
        <v>67.81</v>
      </c>
      <c r="E150">
        <v>0</v>
      </c>
      <c r="F150">
        <v>6</v>
      </c>
      <c r="G150">
        <v>406.86</v>
      </c>
      <c r="H150" t="b">
        <v>1</v>
      </c>
      <c r="I150" t="s">
        <v>18</v>
      </c>
      <c r="J150">
        <v>6</v>
      </c>
    </row>
    <row r="151" spans="1:10" x14ac:dyDescent="0.25">
      <c r="A151" t="s">
        <v>25</v>
      </c>
      <c r="B151">
        <v>6</v>
      </c>
      <c r="C151">
        <v>67.81</v>
      </c>
      <c r="D151">
        <v>67.81</v>
      </c>
      <c r="E151">
        <v>0</v>
      </c>
      <c r="F151">
        <v>5</v>
      </c>
      <c r="G151">
        <v>339.05</v>
      </c>
      <c r="H151" t="b">
        <v>1</v>
      </c>
      <c r="I151" t="s">
        <v>18</v>
      </c>
      <c r="J151">
        <v>5</v>
      </c>
    </row>
    <row r="152" spans="1:10" x14ac:dyDescent="0.25">
      <c r="A152" t="s">
        <v>25</v>
      </c>
      <c r="B152">
        <v>7</v>
      </c>
      <c r="C152">
        <v>67.81</v>
      </c>
      <c r="D152">
        <v>67.81</v>
      </c>
      <c r="E152">
        <v>0</v>
      </c>
      <c r="F152">
        <v>5</v>
      </c>
      <c r="G152">
        <v>339.05</v>
      </c>
      <c r="H152" t="b">
        <v>0</v>
      </c>
      <c r="I152" t="s">
        <v>18</v>
      </c>
      <c r="J152">
        <v>5</v>
      </c>
    </row>
    <row r="153" spans="1:10" x14ac:dyDescent="0.25">
      <c r="A153" t="s">
        <v>25</v>
      </c>
      <c r="B153">
        <v>8</v>
      </c>
      <c r="C153">
        <v>67.81</v>
      </c>
      <c r="D153">
        <v>67.81</v>
      </c>
      <c r="E153">
        <v>0</v>
      </c>
      <c r="F153">
        <v>5</v>
      </c>
      <c r="G153">
        <v>339.05</v>
      </c>
      <c r="H153" t="b">
        <v>0</v>
      </c>
      <c r="I153" t="s">
        <v>18</v>
      </c>
      <c r="J153">
        <v>5</v>
      </c>
    </row>
    <row r="154" spans="1:10" x14ac:dyDescent="0.25">
      <c r="A154" t="s">
        <v>25</v>
      </c>
      <c r="B154">
        <v>9</v>
      </c>
      <c r="C154">
        <v>67.81</v>
      </c>
      <c r="D154">
        <v>67.81</v>
      </c>
      <c r="E154">
        <v>0</v>
      </c>
      <c r="F154">
        <v>5</v>
      </c>
      <c r="G154">
        <v>339.05</v>
      </c>
      <c r="H154" t="b">
        <v>0</v>
      </c>
      <c r="I154" t="s">
        <v>18</v>
      </c>
      <c r="J154">
        <v>5</v>
      </c>
    </row>
    <row r="155" spans="1:10" x14ac:dyDescent="0.25">
      <c r="A155" t="s">
        <v>25</v>
      </c>
      <c r="B155">
        <v>10</v>
      </c>
      <c r="C155">
        <v>67.81</v>
      </c>
      <c r="D155">
        <v>67.81</v>
      </c>
      <c r="E155">
        <v>0</v>
      </c>
      <c r="F155">
        <v>4</v>
      </c>
      <c r="G155">
        <v>271.24</v>
      </c>
      <c r="H155" t="b">
        <v>0</v>
      </c>
      <c r="I155" t="s">
        <v>18</v>
      </c>
      <c r="J155">
        <v>4</v>
      </c>
    </row>
    <row r="156" spans="1:10" x14ac:dyDescent="0.25">
      <c r="A156" t="s">
        <v>25</v>
      </c>
      <c r="B156">
        <v>11</v>
      </c>
      <c r="C156">
        <v>67.81</v>
      </c>
      <c r="D156">
        <v>67.81</v>
      </c>
      <c r="E156">
        <v>0</v>
      </c>
      <c r="F156">
        <v>4</v>
      </c>
      <c r="G156">
        <v>271.24</v>
      </c>
      <c r="H156" t="b">
        <v>0</v>
      </c>
      <c r="I156" t="s">
        <v>18</v>
      </c>
      <c r="J156">
        <v>4</v>
      </c>
    </row>
    <row r="157" spans="1:10" x14ac:dyDescent="0.25">
      <c r="A157" t="s">
        <v>25</v>
      </c>
      <c r="B157">
        <v>12</v>
      </c>
      <c r="C157">
        <v>67.81</v>
      </c>
      <c r="D157">
        <v>67.81</v>
      </c>
      <c r="E157">
        <v>0</v>
      </c>
      <c r="F157">
        <v>3</v>
      </c>
      <c r="G157">
        <v>203.43</v>
      </c>
      <c r="H157" t="b">
        <v>0</v>
      </c>
      <c r="I157" t="s">
        <v>18</v>
      </c>
      <c r="J157">
        <v>3</v>
      </c>
    </row>
    <row r="158" spans="1:10" x14ac:dyDescent="0.25">
      <c r="A158" t="s">
        <v>26</v>
      </c>
      <c r="B158">
        <v>1</v>
      </c>
      <c r="C158">
        <v>87.73</v>
      </c>
      <c r="D158">
        <v>87.73</v>
      </c>
      <c r="E158">
        <v>0</v>
      </c>
      <c r="F158">
        <v>19</v>
      </c>
      <c r="G158">
        <v>1666.87</v>
      </c>
      <c r="H158" t="b">
        <v>0</v>
      </c>
      <c r="I158" t="s">
        <v>18</v>
      </c>
      <c r="J158">
        <v>19</v>
      </c>
    </row>
    <row r="159" spans="1:10" x14ac:dyDescent="0.25">
      <c r="A159" t="s">
        <v>26</v>
      </c>
      <c r="B159">
        <v>2</v>
      </c>
      <c r="C159">
        <v>87.73</v>
      </c>
      <c r="D159">
        <v>87.73</v>
      </c>
      <c r="E159">
        <v>0</v>
      </c>
      <c r="F159">
        <v>15</v>
      </c>
      <c r="G159">
        <v>1315.95</v>
      </c>
      <c r="H159" t="b">
        <v>0</v>
      </c>
      <c r="I159" t="s">
        <v>18</v>
      </c>
      <c r="J159">
        <v>15</v>
      </c>
    </row>
    <row r="160" spans="1:10" x14ac:dyDescent="0.25">
      <c r="A160" t="s">
        <v>26</v>
      </c>
      <c r="B160">
        <v>3</v>
      </c>
      <c r="C160">
        <v>87.73</v>
      </c>
      <c r="D160">
        <v>87.73</v>
      </c>
      <c r="E160">
        <v>0</v>
      </c>
      <c r="F160">
        <v>14</v>
      </c>
      <c r="G160">
        <v>1228.22</v>
      </c>
      <c r="H160" t="b">
        <v>0</v>
      </c>
      <c r="I160" t="s">
        <v>18</v>
      </c>
      <c r="J160">
        <v>14</v>
      </c>
    </row>
    <row r="161" spans="1:10" x14ac:dyDescent="0.25">
      <c r="A161" t="s">
        <v>26</v>
      </c>
      <c r="B161">
        <v>4</v>
      </c>
      <c r="C161">
        <v>87.73</v>
      </c>
      <c r="D161">
        <v>87.73</v>
      </c>
      <c r="E161">
        <v>0</v>
      </c>
      <c r="F161">
        <v>14</v>
      </c>
      <c r="G161">
        <v>1228.22</v>
      </c>
      <c r="H161" t="b">
        <v>0</v>
      </c>
      <c r="I161" t="s">
        <v>18</v>
      </c>
      <c r="J161">
        <v>14</v>
      </c>
    </row>
    <row r="162" spans="1:10" x14ac:dyDescent="0.25">
      <c r="A162" t="s">
        <v>26</v>
      </c>
      <c r="B162">
        <v>5</v>
      </c>
      <c r="C162">
        <v>87.73</v>
      </c>
      <c r="D162">
        <v>87.73</v>
      </c>
      <c r="E162">
        <v>0</v>
      </c>
      <c r="F162">
        <v>18</v>
      </c>
      <c r="G162">
        <v>1579.14</v>
      </c>
      <c r="H162" t="b">
        <v>1</v>
      </c>
      <c r="I162" t="s">
        <v>18</v>
      </c>
      <c r="J162">
        <v>18</v>
      </c>
    </row>
    <row r="163" spans="1:10" x14ac:dyDescent="0.25">
      <c r="A163" t="s">
        <v>26</v>
      </c>
      <c r="B163">
        <v>6</v>
      </c>
      <c r="C163">
        <v>87.73</v>
      </c>
      <c r="D163">
        <v>87.73</v>
      </c>
      <c r="E163">
        <v>0</v>
      </c>
      <c r="F163">
        <v>11</v>
      </c>
      <c r="G163">
        <v>965.03</v>
      </c>
      <c r="H163" t="b">
        <v>1</v>
      </c>
      <c r="I163" t="s">
        <v>18</v>
      </c>
      <c r="J163">
        <v>11</v>
      </c>
    </row>
    <row r="164" spans="1:10" x14ac:dyDescent="0.25">
      <c r="A164" t="s">
        <v>26</v>
      </c>
      <c r="B164">
        <v>7</v>
      </c>
      <c r="C164">
        <v>87.73</v>
      </c>
      <c r="D164">
        <v>87.73</v>
      </c>
      <c r="E164">
        <v>0</v>
      </c>
      <c r="F164">
        <v>13</v>
      </c>
      <c r="G164">
        <v>1140.49</v>
      </c>
      <c r="H164" t="b">
        <v>0</v>
      </c>
      <c r="I164" t="s">
        <v>18</v>
      </c>
      <c r="J164">
        <v>13</v>
      </c>
    </row>
    <row r="165" spans="1:10" x14ac:dyDescent="0.25">
      <c r="A165" t="s">
        <v>26</v>
      </c>
      <c r="B165">
        <v>8</v>
      </c>
      <c r="C165">
        <v>87.73</v>
      </c>
      <c r="D165">
        <v>87.73</v>
      </c>
      <c r="E165">
        <v>0</v>
      </c>
      <c r="F165">
        <v>12</v>
      </c>
      <c r="G165">
        <v>1052.76</v>
      </c>
      <c r="H165" t="b">
        <v>0</v>
      </c>
      <c r="I165" t="s">
        <v>18</v>
      </c>
      <c r="J165">
        <v>12</v>
      </c>
    </row>
    <row r="166" spans="1:10" x14ac:dyDescent="0.25">
      <c r="A166" t="s">
        <v>26</v>
      </c>
      <c r="B166">
        <v>9</v>
      </c>
      <c r="C166">
        <v>87.73</v>
      </c>
      <c r="D166">
        <v>87.73</v>
      </c>
      <c r="E166">
        <v>0</v>
      </c>
      <c r="F166">
        <v>12</v>
      </c>
      <c r="G166">
        <v>1052.76</v>
      </c>
      <c r="H166" t="b">
        <v>0</v>
      </c>
      <c r="I166" t="s">
        <v>18</v>
      </c>
      <c r="J166">
        <v>12</v>
      </c>
    </row>
    <row r="167" spans="1:10" x14ac:dyDescent="0.25">
      <c r="A167" t="s">
        <v>26</v>
      </c>
      <c r="B167">
        <v>10</v>
      </c>
      <c r="C167">
        <v>87.73</v>
      </c>
      <c r="D167">
        <v>87.73</v>
      </c>
      <c r="E167">
        <v>0</v>
      </c>
      <c r="F167">
        <v>10</v>
      </c>
      <c r="G167">
        <v>877.3</v>
      </c>
      <c r="H167" t="b">
        <v>0</v>
      </c>
      <c r="I167" t="s">
        <v>18</v>
      </c>
      <c r="J167">
        <v>10</v>
      </c>
    </row>
    <row r="168" spans="1:10" x14ac:dyDescent="0.25">
      <c r="A168" t="s">
        <v>26</v>
      </c>
      <c r="B168">
        <v>11</v>
      </c>
      <c r="C168">
        <v>87.73</v>
      </c>
      <c r="D168">
        <v>87.73</v>
      </c>
      <c r="E168">
        <v>0</v>
      </c>
      <c r="F168">
        <v>9</v>
      </c>
      <c r="G168">
        <v>789.57</v>
      </c>
      <c r="H168" t="b">
        <v>0</v>
      </c>
      <c r="I168" t="s">
        <v>18</v>
      </c>
      <c r="J168">
        <v>9</v>
      </c>
    </row>
    <row r="169" spans="1:10" x14ac:dyDescent="0.25">
      <c r="A169" t="s">
        <v>26</v>
      </c>
      <c r="B169">
        <v>12</v>
      </c>
      <c r="C169">
        <v>87.73</v>
      </c>
      <c r="D169">
        <v>87.73</v>
      </c>
      <c r="E169">
        <v>0</v>
      </c>
      <c r="F169">
        <v>8</v>
      </c>
      <c r="G169">
        <v>701.84</v>
      </c>
      <c r="H169" t="b">
        <v>0</v>
      </c>
      <c r="I169" t="s">
        <v>18</v>
      </c>
      <c r="J169">
        <v>8</v>
      </c>
    </row>
    <row r="170" spans="1:10" x14ac:dyDescent="0.25">
      <c r="A170" t="s">
        <v>27</v>
      </c>
      <c r="B170">
        <v>1</v>
      </c>
      <c r="C170">
        <v>52.87</v>
      </c>
      <c r="D170">
        <v>52.87</v>
      </c>
      <c r="E170">
        <v>0</v>
      </c>
      <c r="F170">
        <v>12</v>
      </c>
      <c r="G170">
        <v>634.44000000000005</v>
      </c>
      <c r="H170" t="b">
        <v>0</v>
      </c>
      <c r="I170" t="s">
        <v>18</v>
      </c>
      <c r="J170">
        <v>12</v>
      </c>
    </row>
    <row r="171" spans="1:10" x14ac:dyDescent="0.25">
      <c r="A171" t="s">
        <v>27</v>
      </c>
      <c r="B171">
        <v>2</v>
      </c>
      <c r="C171">
        <v>52.87</v>
      </c>
      <c r="D171">
        <v>52.87</v>
      </c>
      <c r="E171">
        <v>0</v>
      </c>
      <c r="F171">
        <v>14</v>
      </c>
      <c r="G171">
        <v>740.18</v>
      </c>
      <c r="H171" t="b">
        <v>0</v>
      </c>
      <c r="I171" t="s">
        <v>18</v>
      </c>
      <c r="J171">
        <v>14</v>
      </c>
    </row>
    <row r="172" spans="1:10" x14ac:dyDescent="0.25">
      <c r="A172" t="s">
        <v>27</v>
      </c>
      <c r="B172">
        <v>3</v>
      </c>
      <c r="C172">
        <v>52.87</v>
      </c>
      <c r="D172">
        <v>52.87</v>
      </c>
      <c r="E172">
        <v>0</v>
      </c>
      <c r="F172">
        <v>13</v>
      </c>
      <c r="G172">
        <v>687.31</v>
      </c>
      <c r="H172" t="b">
        <v>0</v>
      </c>
      <c r="I172" t="s">
        <v>18</v>
      </c>
      <c r="J172">
        <v>13</v>
      </c>
    </row>
    <row r="173" spans="1:10" x14ac:dyDescent="0.25">
      <c r="A173" t="s">
        <v>27</v>
      </c>
      <c r="B173">
        <v>4</v>
      </c>
      <c r="C173">
        <v>52.87</v>
      </c>
      <c r="D173">
        <v>52.87</v>
      </c>
      <c r="E173">
        <v>0</v>
      </c>
      <c r="F173">
        <v>11</v>
      </c>
      <c r="G173">
        <v>581.57000000000005</v>
      </c>
      <c r="H173" t="b">
        <v>0</v>
      </c>
      <c r="I173" t="s">
        <v>18</v>
      </c>
      <c r="J173">
        <v>11</v>
      </c>
    </row>
    <row r="174" spans="1:10" x14ac:dyDescent="0.25">
      <c r="A174" t="s">
        <v>27</v>
      </c>
      <c r="B174">
        <v>5</v>
      </c>
      <c r="C174">
        <v>52.87</v>
      </c>
      <c r="D174">
        <v>52.87</v>
      </c>
      <c r="E174">
        <v>0</v>
      </c>
      <c r="F174">
        <v>12</v>
      </c>
      <c r="G174">
        <v>634.44000000000005</v>
      </c>
      <c r="H174" t="b">
        <v>1</v>
      </c>
      <c r="I174" t="s">
        <v>18</v>
      </c>
      <c r="J174">
        <v>12</v>
      </c>
    </row>
    <row r="175" spans="1:10" x14ac:dyDescent="0.25">
      <c r="A175" t="s">
        <v>27</v>
      </c>
      <c r="B175">
        <v>6</v>
      </c>
      <c r="C175">
        <v>52.87</v>
      </c>
      <c r="D175">
        <v>52.87</v>
      </c>
      <c r="E175">
        <v>0</v>
      </c>
      <c r="F175">
        <v>10</v>
      </c>
      <c r="G175">
        <v>528.70000000000005</v>
      </c>
      <c r="H175" t="b">
        <v>1</v>
      </c>
      <c r="I175" t="s">
        <v>18</v>
      </c>
      <c r="J175">
        <v>10</v>
      </c>
    </row>
    <row r="176" spans="1:10" x14ac:dyDescent="0.25">
      <c r="A176" t="s">
        <v>27</v>
      </c>
      <c r="B176">
        <v>7</v>
      </c>
      <c r="C176">
        <v>52.87</v>
      </c>
      <c r="D176">
        <v>52.87</v>
      </c>
      <c r="E176">
        <v>0</v>
      </c>
      <c r="F176">
        <v>12</v>
      </c>
      <c r="G176">
        <v>634.44000000000005</v>
      </c>
      <c r="H176" t="b">
        <v>0</v>
      </c>
      <c r="I176" t="s">
        <v>18</v>
      </c>
      <c r="J176">
        <v>12</v>
      </c>
    </row>
    <row r="177" spans="1:10" x14ac:dyDescent="0.25">
      <c r="A177" t="s">
        <v>27</v>
      </c>
      <c r="B177">
        <v>8</v>
      </c>
      <c r="C177">
        <v>52.87</v>
      </c>
      <c r="D177">
        <v>52.87</v>
      </c>
      <c r="E177">
        <v>0</v>
      </c>
      <c r="F177">
        <v>11</v>
      </c>
      <c r="G177">
        <v>581.57000000000005</v>
      </c>
      <c r="H177" t="b">
        <v>0</v>
      </c>
      <c r="I177" t="s">
        <v>18</v>
      </c>
      <c r="J177">
        <v>11</v>
      </c>
    </row>
    <row r="178" spans="1:10" x14ac:dyDescent="0.25">
      <c r="A178" t="s">
        <v>27</v>
      </c>
      <c r="B178">
        <v>9</v>
      </c>
      <c r="C178">
        <v>52.87</v>
      </c>
      <c r="D178">
        <v>52.87</v>
      </c>
      <c r="E178">
        <v>0</v>
      </c>
      <c r="F178">
        <v>10</v>
      </c>
      <c r="G178">
        <v>528.70000000000005</v>
      </c>
      <c r="H178" t="b">
        <v>0</v>
      </c>
      <c r="I178" t="s">
        <v>18</v>
      </c>
      <c r="J178">
        <v>10</v>
      </c>
    </row>
    <row r="179" spans="1:10" x14ac:dyDescent="0.25">
      <c r="A179" t="s">
        <v>27</v>
      </c>
      <c r="B179">
        <v>10</v>
      </c>
      <c r="C179">
        <v>52.87</v>
      </c>
      <c r="D179">
        <v>52.87</v>
      </c>
      <c r="E179">
        <v>0</v>
      </c>
      <c r="F179">
        <v>8</v>
      </c>
      <c r="G179">
        <v>422.96</v>
      </c>
      <c r="H179" t="b">
        <v>0</v>
      </c>
      <c r="I179" t="s">
        <v>18</v>
      </c>
      <c r="J179">
        <v>8</v>
      </c>
    </row>
    <row r="180" spans="1:10" x14ac:dyDescent="0.25">
      <c r="A180" t="s">
        <v>27</v>
      </c>
      <c r="B180">
        <v>11</v>
      </c>
      <c r="C180">
        <v>52.87</v>
      </c>
      <c r="D180">
        <v>52.87</v>
      </c>
      <c r="E180">
        <v>0</v>
      </c>
      <c r="F180">
        <v>9</v>
      </c>
      <c r="G180">
        <v>475.83</v>
      </c>
      <c r="H180" t="b">
        <v>0</v>
      </c>
      <c r="I180" t="s">
        <v>18</v>
      </c>
      <c r="J180">
        <v>9</v>
      </c>
    </row>
    <row r="181" spans="1:10" x14ac:dyDescent="0.25">
      <c r="A181" t="s">
        <v>27</v>
      </c>
      <c r="B181">
        <v>12</v>
      </c>
      <c r="C181">
        <v>52.87</v>
      </c>
      <c r="D181">
        <v>52.87</v>
      </c>
      <c r="E181">
        <v>0</v>
      </c>
      <c r="F181">
        <v>7</v>
      </c>
      <c r="G181">
        <v>370.09</v>
      </c>
      <c r="H181" t="b">
        <v>0</v>
      </c>
      <c r="I181" t="s">
        <v>18</v>
      </c>
      <c r="J181">
        <v>7</v>
      </c>
    </row>
    <row r="182" spans="1:10" x14ac:dyDescent="0.25">
      <c r="A182" t="s">
        <v>28</v>
      </c>
      <c r="B182">
        <v>1</v>
      </c>
      <c r="C182">
        <v>29.09</v>
      </c>
      <c r="D182">
        <v>29.09</v>
      </c>
      <c r="E182">
        <v>0</v>
      </c>
      <c r="F182">
        <v>23</v>
      </c>
      <c r="G182">
        <v>669.07</v>
      </c>
      <c r="H182" t="b">
        <v>0</v>
      </c>
      <c r="I182" t="s">
        <v>18</v>
      </c>
      <c r="J182">
        <v>23</v>
      </c>
    </row>
    <row r="183" spans="1:10" x14ac:dyDescent="0.25">
      <c r="A183" t="s">
        <v>28</v>
      </c>
      <c r="B183">
        <v>2</v>
      </c>
      <c r="C183">
        <v>29.09</v>
      </c>
      <c r="D183">
        <v>29.09</v>
      </c>
      <c r="E183">
        <v>0</v>
      </c>
      <c r="F183">
        <v>20</v>
      </c>
      <c r="G183">
        <v>581.79999999999995</v>
      </c>
      <c r="H183" t="b">
        <v>0</v>
      </c>
      <c r="I183" t="s">
        <v>18</v>
      </c>
      <c r="J183">
        <v>20</v>
      </c>
    </row>
    <row r="184" spans="1:10" x14ac:dyDescent="0.25">
      <c r="A184" t="s">
        <v>28</v>
      </c>
      <c r="B184">
        <v>3</v>
      </c>
      <c r="C184">
        <v>29.09</v>
      </c>
      <c r="D184">
        <v>29.09</v>
      </c>
      <c r="E184">
        <v>0</v>
      </c>
      <c r="F184">
        <v>24</v>
      </c>
      <c r="G184">
        <v>698.16</v>
      </c>
      <c r="H184" t="b">
        <v>0</v>
      </c>
      <c r="I184" t="s">
        <v>18</v>
      </c>
      <c r="J184">
        <v>24</v>
      </c>
    </row>
    <row r="185" spans="1:10" x14ac:dyDescent="0.25">
      <c r="A185" t="s">
        <v>28</v>
      </c>
      <c r="B185">
        <v>4</v>
      </c>
      <c r="C185">
        <v>29.09</v>
      </c>
      <c r="D185">
        <v>29.09</v>
      </c>
      <c r="E185">
        <v>0</v>
      </c>
      <c r="F185">
        <v>20</v>
      </c>
      <c r="G185">
        <v>581.79999999999995</v>
      </c>
      <c r="H185" t="b">
        <v>0</v>
      </c>
      <c r="I185" t="s">
        <v>18</v>
      </c>
      <c r="J185">
        <v>20</v>
      </c>
    </row>
    <row r="186" spans="1:10" x14ac:dyDescent="0.25">
      <c r="A186" t="s">
        <v>28</v>
      </c>
      <c r="B186">
        <v>5</v>
      </c>
      <c r="C186">
        <v>29.09</v>
      </c>
      <c r="D186">
        <v>29.09</v>
      </c>
      <c r="E186">
        <v>0</v>
      </c>
      <c r="F186">
        <v>18</v>
      </c>
      <c r="G186">
        <v>523.62</v>
      </c>
      <c r="H186" t="b">
        <v>1</v>
      </c>
      <c r="I186" t="s">
        <v>18</v>
      </c>
      <c r="J186">
        <v>18</v>
      </c>
    </row>
    <row r="187" spans="1:10" x14ac:dyDescent="0.25">
      <c r="A187" t="s">
        <v>28</v>
      </c>
      <c r="B187">
        <v>6</v>
      </c>
      <c r="C187">
        <v>29.09</v>
      </c>
      <c r="D187">
        <v>29.09</v>
      </c>
      <c r="E187">
        <v>0</v>
      </c>
      <c r="F187">
        <v>16</v>
      </c>
      <c r="G187">
        <v>465.44</v>
      </c>
      <c r="H187" t="b">
        <v>1</v>
      </c>
      <c r="I187" t="s">
        <v>18</v>
      </c>
      <c r="J187">
        <v>16</v>
      </c>
    </row>
    <row r="188" spans="1:10" x14ac:dyDescent="0.25">
      <c r="A188" t="s">
        <v>28</v>
      </c>
      <c r="B188">
        <v>7</v>
      </c>
      <c r="C188">
        <v>29.09</v>
      </c>
      <c r="D188">
        <v>29.09</v>
      </c>
      <c r="E188">
        <v>0</v>
      </c>
      <c r="F188">
        <v>18</v>
      </c>
      <c r="G188">
        <v>523.62</v>
      </c>
      <c r="H188" t="b">
        <v>0</v>
      </c>
      <c r="I188" t="s">
        <v>18</v>
      </c>
      <c r="J188">
        <v>18</v>
      </c>
    </row>
    <row r="189" spans="1:10" x14ac:dyDescent="0.25">
      <c r="A189" t="s">
        <v>28</v>
      </c>
      <c r="B189">
        <v>8</v>
      </c>
      <c r="C189">
        <v>29.09</v>
      </c>
      <c r="D189">
        <v>29.09</v>
      </c>
      <c r="E189">
        <v>0</v>
      </c>
      <c r="F189">
        <v>20</v>
      </c>
      <c r="G189">
        <v>581.79999999999995</v>
      </c>
      <c r="H189" t="b">
        <v>0</v>
      </c>
      <c r="I189" t="s">
        <v>18</v>
      </c>
      <c r="J189">
        <v>20</v>
      </c>
    </row>
    <row r="190" spans="1:10" x14ac:dyDescent="0.25">
      <c r="A190" t="s">
        <v>28</v>
      </c>
      <c r="B190">
        <v>9</v>
      </c>
      <c r="C190">
        <v>29.09</v>
      </c>
      <c r="D190">
        <v>29.09</v>
      </c>
      <c r="E190">
        <v>0</v>
      </c>
      <c r="F190">
        <v>18</v>
      </c>
      <c r="G190">
        <v>523.62</v>
      </c>
      <c r="H190" t="b">
        <v>0</v>
      </c>
      <c r="I190" t="s">
        <v>18</v>
      </c>
      <c r="J190">
        <v>18</v>
      </c>
    </row>
    <row r="191" spans="1:10" x14ac:dyDescent="0.25">
      <c r="A191" t="s">
        <v>28</v>
      </c>
      <c r="B191">
        <v>10</v>
      </c>
      <c r="C191">
        <v>29.09</v>
      </c>
      <c r="D191">
        <v>29.09</v>
      </c>
      <c r="E191">
        <v>0</v>
      </c>
      <c r="F191">
        <v>15</v>
      </c>
      <c r="G191">
        <v>436.35</v>
      </c>
      <c r="H191" t="b">
        <v>0</v>
      </c>
      <c r="I191" t="s">
        <v>18</v>
      </c>
      <c r="J191">
        <v>15</v>
      </c>
    </row>
    <row r="192" spans="1:10" x14ac:dyDescent="0.25">
      <c r="A192" t="s">
        <v>28</v>
      </c>
      <c r="B192">
        <v>11</v>
      </c>
      <c r="C192">
        <v>29.09</v>
      </c>
      <c r="D192">
        <v>29.09</v>
      </c>
      <c r="E192">
        <v>0</v>
      </c>
      <c r="F192">
        <v>15</v>
      </c>
      <c r="G192">
        <v>436.35</v>
      </c>
      <c r="H192" t="b">
        <v>0</v>
      </c>
      <c r="I192" t="s">
        <v>18</v>
      </c>
      <c r="J192">
        <v>15</v>
      </c>
    </row>
    <row r="193" spans="1:10" x14ac:dyDescent="0.25">
      <c r="A193" t="s">
        <v>28</v>
      </c>
      <c r="B193">
        <v>12</v>
      </c>
      <c r="C193">
        <v>29.09</v>
      </c>
      <c r="D193">
        <v>29.09</v>
      </c>
      <c r="E193">
        <v>0</v>
      </c>
      <c r="F193">
        <v>9</v>
      </c>
      <c r="G193">
        <v>261.81</v>
      </c>
      <c r="H193" t="b">
        <v>0</v>
      </c>
      <c r="I193" t="s">
        <v>18</v>
      </c>
      <c r="J193">
        <v>9</v>
      </c>
    </row>
    <row r="194" spans="1:10" x14ac:dyDescent="0.25">
      <c r="A194" t="s">
        <v>29</v>
      </c>
      <c r="B194">
        <v>1</v>
      </c>
      <c r="C194">
        <v>66.89</v>
      </c>
      <c r="D194">
        <v>66.89</v>
      </c>
      <c r="E194">
        <v>0</v>
      </c>
      <c r="F194">
        <v>19</v>
      </c>
      <c r="G194">
        <v>1270.9100000000001</v>
      </c>
      <c r="H194" t="b">
        <v>0</v>
      </c>
      <c r="I194" t="s">
        <v>18</v>
      </c>
      <c r="J194">
        <v>19</v>
      </c>
    </row>
    <row r="195" spans="1:10" x14ac:dyDescent="0.25">
      <c r="A195" t="s">
        <v>29</v>
      </c>
      <c r="B195">
        <v>2</v>
      </c>
      <c r="C195">
        <v>66.89</v>
      </c>
      <c r="D195">
        <v>66.89</v>
      </c>
      <c r="E195">
        <v>0</v>
      </c>
      <c r="F195">
        <v>16</v>
      </c>
      <c r="G195">
        <v>1070.24</v>
      </c>
      <c r="H195" t="b">
        <v>0</v>
      </c>
      <c r="I195" t="s">
        <v>18</v>
      </c>
      <c r="J195">
        <v>16</v>
      </c>
    </row>
    <row r="196" spans="1:10" x14ac:dyDescent="0.25">
      <c r="A196" t="s">
        <v>29</v>
      </c>
      <c r="B196">
        <v>3</v>
      </c>
      <c r="C196">
        <v>66.89</v>
      </c>
      <c r="D196">
        <v>66.89</v>
      </c>
      <c r="E196">
        <v>0</v>
      </c>
      <c r="F196">
        <v>16</v>
      </c>
      <c r="G196">
        <v>1070.24</v>
      </c>
      <c r="H196" t="b">
        <v>0</v>
      </c>
      <c r="I196" t="s">
        <v>18</v>
      </c>
      <c r="J196">
        <v>16</v>
      </c>
    </row>
    <row r="197" spans="1:10" x14ac:dyDescent="0.25">
      <c r="A197" t="s">
        <v>29</v>
      </c>
      <c r="B197">
        <v>4</v>
      </c>
      <c r="C197">
        <v>66.89</v>
      </c>
      <c r="D197">
        <v>66.89</v>
      </c>
      <c r="E197">
        <v>0</v>
      </c>
      <c r="F197">
        <v>15</v>
      </c>
      <c r="G197">
        <v>1003.35</v>
      </c>
      <c r="H197" t="b">
        <v>0</v>
      </c>
      <c r="I197" t="s">
        <v>18</v>
      </c>
      <c r="J197">
        <v>15</v>
      </c>
    </row>
    <row r="198" spans="1:10" x14ac:dyDescent="0.25">
      <c r="A198" t="s">
        <v>29</v>
      </c>
      <c r="B198">
        <v>5</v>
      </c>
      <c r="C198">
        <v>66.89</v>
      </c>
      <c r="D198">
        <v>66.89</v>
      </c>
      <c r="E198">
        <v>0</v>
      </c>
      <c r="F198">
        <v>12</v>
      </c>
      <c r="G198">
        <v>802.68</v>
      </c>
      <c r="H198" t="b">
        <v>1</v>
      </c>
      <c r="I198" t="s">
        <v>18</v>
      </c>
      <c r="J198">
        <v>12</v>
      </c>
    </row>
    <row r="199" spans="1:10" x14ac:dyDescent="0.25">
      <c r="A199" t="s">
        <v>29</v>
      </c>
      <c r="B199">
        <v>6</v>
      </c>
      <c r="C199">
        <v>66.89</v>
      </c>
      <c r="D199">
        <v>66.89</v>
      </c>
      <c r="E199">
        <v>0</v>
      </c>
      <c r="F199">
        <v>16</v>
      </c>
      <c r="G199">
        <v>1070.24</v>
      </c>
      <c r="H199" t="b">
        <v>1</v>
      </c>
      <c r="I199" t="s">
        <v>18</v>
      </c>
      <c r="J199">
        <v>16</v>
      </c>
    </row>
    <row r="200" spans="1:10" x14ac:dyDescent="0.25">
      <c r="A200" t="s">
        <v>29</v>
      </c>
      <c r="B200">
        <v>7</v>
      </c>
      <c r="C200">
        <v>66.89</v>
      </c>
      <c r="D200">
        <v>66.89</v>
      </c>
      <c r="E200">
        <v>0</v>
      </c>
      <c r="F200">
        <v>13</v>
      </c>
      <c r="G200">
        <v>869.57</v>
      </c>
      <c r="H200" t="b">
        <v>0</v>
      </c>
      <c r="I200" t="s">
        <v>18</v>
      </c>
      <c r="J200">
        <v>13</v>
      </c>
    </row>
    <row r="201" spans="1:10" x14ac:dyDescent="0.25">
      <c r="A201" t="s">
        <v>29</v>
      </c>
      <c r="B201">
        <v>8</v>
      </c>
      <c r="C201">
        <v>66.89</v>
      </c>
      <c r="D201">
        <v>66.89</v>
      </c>
      <c r="E201">
        <v>0</v>
      </c>
      <c r="F201">
        <v>14</v>
      </c>
      <c r="G201">
        <v>936.46</v>
      </c>
      <c r="H201" t="b">
        <v>0</v>
      </c>
      <c r="I201" t="s">
        <v>18</v>
      </c>
      <c r="J201">
        <v>14</v>
      </c>
    </row>
    <row r="202" spans="1:10" x14ac:dyDescent="0.25">
      <c r="A202" t="s">
        <v>29</v>
      </c>
      <c r="B202">
        <v>9</v>
      </c>
      <c r="C202">
        <v>66.89</v>
      </c>
      <c r="D202">
        <v>66.89</v>
      </c>
      <c r="E202">
        <v>0</v>
      </c>
      <c r="F202">
        <v>14</v>
      </c>
      <c r="G202">
        <v>936.46</v>
      </c>
      <c r="H202" t="b">
        <v>0</v>
      </c>
      <c r="I202" t="s">
        <v>18</v>
      </c>
      <c r="J202">
        <v>14</v>
      </c>
    </row>
    <row r="203" spans="1:10" x14ac:dyDescent="0.25">
      <c r="A203" t="s">
        <v>29</v>
      </c>
      <c r="B203">
        <v>10</v>
      </c>
      <c r="C203">
        <v>66.89</v>
      </c>
      <c r="D203">
        <v>66.89</v>
      </c>
      <c r="E203">
        <v>0</v>
      </c>
      <c r="F203">
        <v>10</v>
      </c>
      <c r="G203">
        <v>668.9</v>
      </c>
      <c r="H203" t="b">
        <v>0</v>
      </c>
      <c r="I203" t="s">
        <v>18</v>
      </c>
      <c r="J203">
        <v>10</v>
      </c>
    </row>
    <row r="204" spans="1:10" x14ac:dyDescent="0.25">
      <c r="A204" t="s">
        <v>29</v>
      </c>
      <c r="B204">
        <v>11</v>
      </c>
      <c r="C204">
        <v>66.89</v>
      </c>
      <c r="D204">
        <v>66.89</v>
      </c>
      <c r="E204">
        <v>0</v>
      </c>
      <c r="F204">
        <v>12</v>
      </c>
      <c r="G204">
        <v>802.68</v>
      </c>
      <c r="H204" t="b">
        <v>0</v>
      </c>
      <c r="I204" t="s">
        <v>18</v>
      </c>
      <c r="J204">
        <v>12</v>
      </c>
    </row>
    <row r="205" spans="1:10" x14ac:dyDescent="0.25">
      <c r="A205" t="s">
        <v>29</v>
      </c>
      <c r="B205">
        <v>12</v>
      </c>
      <c r="C205">
        <v>66.89</v>
      </c>
      <c r="D205">
        <v>66.89</v>
      </c>
      <c r="E205">
        <v>0</v>
      </c>
      <c r="F205">
        <v>9</v>
      </c>
      <c r="G205">
        <v>602.01</v>
      </c>
      <c r="H205" t="b">
        <v>0</v>
      </c>
      <c r="I205" t="s">
        <v>18</v>
      </c>
      <c r="J205">
        <v>9</v>
      </c>
    </row>
    <row r="206" spans="1:10" x14ac:dyDescent="0.25">
      <c r="A206" t="s">
        <v>30</v>
      </c>
      <c r="B206">
        <v>1</v>
      </c>
      <c r="C206">
        <v>78.290000000000006</v>
      </c>
      <c r="D206">
        <v>78.290000000000006</v>
      </c>
      <c r="E206">
        <v>0</v>
      </c>
      <c r="F206">
        <v>24</v>
      </c>
      <c r="G206">
        <v>1878.96</v>
      </c>
      <c r="H206" t="b">
        <v>0</v>
      </c>
      <c r="I206" t="s">
        <v>18</v>
      </c>
      <c r="J206">
        <v>24</v>
      </c>
    </row>
    <row r="207" spans="1:10" x14ac:dyDescent="0.25">
      <c r="A207" t="s">
        <v>30</v>
      </c>
      <c r="B207">
        <v>2</v>
      </c>
      <c r="C207">
        <v>78.290000000000006</v>
      </c>
      <c r="D207">
        <v>78.290000000000006</v>
      </c>
      <c r="E207">
        <v>0</v>
      </c>
      <c r="F207">
        <v>20</v>
      </c>
      <c r="G207">
        <v>1565.8</v>
      </c>
      <c r="H207" t="b">
        <v>0</v>
      </c>
      <c r="I207" t="s">
        <v>18</v>
      </c>
      <c r="J207">
        <v>20</v>
      </c>
    </row>
    <row r="208" spans="1:10" x14ac:dyDescent="0.25">
      <c r="A208" t="s">
        <v>30</v>
      </c>
      <c r="B208">
        <v>3</v>
      </c>
      <c r="C208">
        <v>78.290000000000006</v>
      </c>
      <c r="D208">
        <v>78.290000000000006</v>
      </c>
      <c r="E208">
        <v>0</v>
      </c>
      <c r="F208">
        <v>22</v>
      </c>
      <c r="G208">
        <v>1722.38</v>
      </c>
      <c r="H208" t="b">
        <v>0</v>
      </c>
      <c r="I208" t="s">
        <v>18</v>
      </c>
      <c r="J208">
        <v>22</v>
      </c>
    </row>
    <row r="209" spans="1:10" x14ac:dyDescent="0.25">
      <c r="A209" t="s">
        <v>30</v>
      </c>
      <c r="B209">
        <v>4</v>
      </c>
      <c r="C209">
        <v>78.290000000000006</v>
      </c>
      <c r="D209">
        <v>78.290000000000006</v>
      </c>
      <c r="E209">
        <v>0</v>
      </c>
      <c r="F209">
        <v>21</v>
      </c>
      <c r="G209">
        <v>1644.09</v>
      </c>
      <c r="H209" t="b">
        <v>0</v>
      </c>
      <c r="I209" t="s">
        <v>18</v>
      </c>
      <c r="J209">
        <v>21</v>
      </c>
    </row>
    <row r="210" spans="1:10" x14ac:dyDescent="0.25">
      <c r="A210" t="s">
        <v>30</v>
      </c>
      <c r="B210">
        <v>5</v>
      </c>
      <c r="C210">
        <v>78.290000000000006</v>
      </c>
      <c r="D210">
        <v>78.290000000000006</v>
      </c>
      <c r="E210">
        <v>0</v>
      </c>
      <c r="F210">
        <v>19</v>
      </c>
      <c r="G210">
        <v>1487.51</v>
      </c>
      <c r="H210" t="b">
        <v>1</v>
      </c>
      <c r="I210" t="s">
        <v>18</v>
      </c>
      <c r="J210">
        <v>19</v>
      </c>
    </row>
    <row r="211" spans="1:10" x14ac:dyDescent="0.25">
      <c r="A211" t="s">
        <v>30</v>
      </c>
      <c r="B211">
        <v>6</v>
      </c>
      <c r="C211">
        <v>78.290000000000006</v>
      </c>
      <c r="D211">
        <v>78.290000000000006</v>
      </c>
      <c r="E211">
        <v>0</v>
      </c>
      <c r="F211">
        <v>15</v>
      </c>
      <c r="G211">
        <v>1174.3499999999999</v>
      </c>
      <c r="H211" t="b">
        <v>1</v>
      </c>
      <c r="I211" t="s">
        <v>18</v>
      </c>
      <c r="J211">
        <v>15</v>
      </c>
    </row>
    <row r="212" spans="1:10" x14ac:dyDescent="0.25">
      <c r="A212" t="s">
        <v>30</v>
      </c>
      <c r="B212">
        <v>7</v>
      </c>
      <c r="C212">
        <v>78.290000000000006</v>
      </c>
      <c r="D212">
        <v>78.290000000000006</v>
      </c>
      <c r="E212">
        <v>0</v>
      </c>
      <c r="F212">
        <v>18</v>
      </c>
      <c r="G212">
        <v>1409.22</v>
      </c>
      <c r="H212" t="b">
        <v>0</v>
      </c>
      <c r="I212" t="s">
        <v>18</v>
      </c>
      <c r="J212">
        <v>18</v>
      </c>
    </row>
    <row r="213" spans="1:10" x14ac:dyDescent="0.25">
      <c r="A213" t="s">
        <v>30</v>
      </c>
      <c r="B213">
        <v>8</v>
      </c>
      <c r="C213">
        <v>78.290000000000006</v>
      </c>
      <c r="D213">
        <v>78.290000000000006</v>
      </c>
      <c r="E213">
        <v>0</v>
      </c>
      <c r="F213">
        <v>17</v>
      </c>
      <c r="G213">
        <v>1330.93</v>
      </c>
      <c r="H213" t="b">
        <v>0</v>
      </c>
      <c r="I213" t="s">
        <v>18</v>
      </c>
      <c r="J213">
        <v>17</v>
      </c>
    </row>
    <row r="214" spans="1:10" x14ac:dyDescent="0.25">
      <c r="A214" t="s">
        <v>30</v>
      </c>
      <c r="B214">
        <v>9</v>
      </c>
      <c r="C214">
        <v>78.290000000000006</v>
      </c>
      <c r="D214">
        <v>78.290000000000006</v>
      </c>
      <c r="E214">
        <v>0</v>
      </c>
      <c r="F214">
        <v>15</v>
      </c>
      <c r="G214">
        <v>1174.3499999999999</v>
      </c>
      <c r="H214" t="b">
        <v>0</v>
      </c>
      <c r="I214" t="s">
        <v>18</v>
      </c>
      <c r="J214">
        <v>15</v>
      </c>
    </row>
    <row r="215" spans="1:10" x14ac:dyDescent="0.25">
      <c r="A215" t="s">
        <v>30</v>
      </c>
      <c r="B215">
        <v>10</v>
      </c>
      <c r="C215">
        <v>78.290000000000006</v>
      </c>
      <c r="D215">
        <v>78.290000000000006</v>
      </c>
      <c r="E215">
        <v>0</v>
      </c>
      <c r="F215">
        <v>12</v>
      </c>
      <c r="G215">
        <v>939.48</v>
      </c>
      <c r="H215" t="b">
        <v>0</v>
      </c>
      <c r="I215" t="s">
        <v>18</v>
      </c>
      <c r="J215">
        <v>12</v>
      </c>
    </row>
    <row r="216" spans="1:10" x14ac:dyDescent="0.25">
      <c r="A216" t="s">
        <v>30</v>
      </c>
      <c r="B216">
        <v>11</v>
      </c>
      <c r="C216">
        <v>78.290000000000006</v>
      </c>
      <c r="D216">
        <v>78.290000000000006</v>
      </c>
      <c r="E216">
        <v>0</v>
      </c>
      <c r="F216">
        <v>13</v>
      </c>
      <c r="G216">
        <v>1017.77</v>
      </c>
      <c r="H216" t="b">
        <v>0</v>
      </c>
      <c r="I216" t="s">
        <v>18</v>
      </c>
      <c r="J216">
        <v>13</v>
      </c>
    </row>
    <row r="217" spans="1:10" x14ac:dyDescent="0.25">
      <c r="A217" t="s">
        <v>30</v>
      </c>
      <c r="B217">
        <v>12</v>
      </c>
      <c r="C217">
        <v>78.290000000000006</v>
      </c>
      <c r="D217">
        <v>78.290000000000006</v>
      </c>
      <c r="E217">
        <v>0</v>
      </c>
      <c r="F217">
        <v>11</v>
      </c>
      <c r="G217">
        <v>861.19</v>
      </c>
      <c r="H217" t="b">
        <v>0</v>
      </c>
      <c r="I217" t="s">
        <v>18</v>
      </c>
      <c r="J217">
        <v>11</v>
      </c>
    </row>
    <row r="218" spans="1:10" x14ac:dyDescent="0.25">
      <c r="A218" t="s">
        <v>31</v>
      </c>
      <c r="B218">
        <v>1</v>
      </c>
      <c r="C218">
        <v>78.260000000000005</v>
      </c>
      <c r="D218">
        <v>78.260000000000005</v>
      </c>
      <c r="E218">
        <v>0</v>
      </c>
      <c r="F218">
        <v>27</v>
      </c>
      <c r="G218">
        <v>2113.02</v>
      </c>
      <c r="H218" t="b">
        <v>0</v>
      </c>
      <c r="I218" t="s">
        <v>18</v>
      </c>
      <c r="J218">
        <v>27</v>
      </c>
    </row>
    <row r="219" spans="1:10" x14ac:dyDescent="0.25">
      <c r="A219" t="s">
        <v>31</v>
      </c>
      <c r="B219">
        <v>2</v>
      </c>
      <c r="C219">
        <v>78.260000000000005</v>
      </c>
      <c r="D219">
        <v>78.260000000000005</v>
      </c>
      <c r="E219">
        <v>0</v>
      </c>
      <c r="F219">
        <v>20</v>
      </c>
      <c r="G219">
        <v>1565.2</v>
      </c>
      <c r="H219" t="b">
        <v>0</v>
      </c>
      <c r="I219" t="s">
        <v>18</v>
      </c>
      <c r="J219">
        <v>20</v>
      </c>
    </row>
    <row r="220" spans="1:10" x14ac:dyDescent="0.25">
      <c r="A220" t="s">
        <v>31</v>
      </c>
      <c r="B220">
        <v>3</v>
      </c>
      <c r="C220">
        <v>78.260000000000005</v>
      </c>
      <c r="D220">
        <v>78.260000000000005</v>
      </c>
      <c r="E220">
        <v>0</v>
      </c>
      <c r="F220">
        <v>21</v>
      </c>
      <c r="G220">
        <v>1643.46</v>
      </c>
      <c r="H220" t="b">
        <v>0</v>
      </c>
      <c r="I220" t="s">
        <v>18</v>
      </c>
      <c r="J220">
        <v>21</v>
      </c>
    </row>
    <row r="221" spans="1:10" x14ac:dyDescent="0.25">
      <c r="A221" t="s">
        <v>31</v>
      </c>
      <c r="B221">
        <v>4</v>
      </c>
      <c r="C221">
        <v>78.260000000000005</v>
      </c>
      <c r="D221">
        <v>78.260000000000005</v>
      </c>
      <c r="E221">
        <v>0</v>
      </c>
      <c r="F221">
        <v>22</v>
      </c>
      <c r="G221">
        <v>1721.72</v>
      </c>
      <c r="H221" t="b">
        <v>0</v>
      </c>
      <c r="I221" t="s">
        <v>18</v>
      </c>
      <c r="J221">
        <v>22</v>
      </c>
    </row>
    <row r="222" spans="1:10" x14ac:dyDescent="0.25">
      <c r="A222" t="s">
        <v>31</v>
      </c>
      <c r="B222">
        <v>5</v>
      </c>
      <c r="C222">
        <v>78.260000000000005</v>
      </c>
      <c r="D222">
        <v>78.260000000000005</v>
      </c>
      <c r="E222">
        <v>0</v>
      </c>
      <c r="F222">
        <v>19</v>
      </c>
      <c r="G222">
        <v>1486.94</v>
      </c>
      <c r="H222" t="b">
        <v>1</v>
      </c>
      <c r="I222" t="s">
        <v>18</v>
      </c>
      <c r="J222">
        <v>19</v>
      </c>
    </row>
    <row r="223" spans="1:10" x14ac:dyDescent="0.25">
      <c r="A223" t="s">
        <v>31</v>
      </c>
      <c r="B223">
        <v>6</v>
      </c>
      <c r="C223">
        <v>78.260000000000005</v>
      </c>
      <c r="D223">
        <v>78.260000000000005</v>
      </c>
      <c r="E223">
        <v>0</v>
      </c>
      <c r="F223">
        <v>20</v>
      </c>
      <c r="G223">
        <v>1565.2</v>
      </c>
      <c r="H223" t="b">
        <v>1</v>
      </c>
      <c r="I223" t="s">
        <v>18</v>
      </c>
      <c r="J223">
        <v>20</v>
      </c>
    </row>
    <row r="224" spans="1:10" x14ac:dyDescent="0.25">
      <c r="A224" t="s">
        <v>31</v>
      </c>
      <c r="B224">
        <v>7</v>
      </c>
      <c r="C224">
        <v>78.260000000000005</v>
      </c>
      <c r="D224">
        <v>78.260000000000005</v>
      </c>
      <c r="E224">
        <v>0</v>
      </c>
      <c r="F224">
        <v>19</v>
      </c>
      <c r="G224">
        <v>1486.94</v>
      </c>
      <c r="H224" t="b">
        <v>0</v>
      </c>
      <c r="I224" t="s">
        <v>18</v>
      </c>
      <c r="J224">
        <v>19</v>
      </c>
    </row>
    <row r="225" spans="1:10" x14ac:dyDescent="0.25">
      <c r="A225" t="s">
        <v>31</v>
      </c>
      <c r="B225">
        <v>8</v>
      </c>
      <c r="C225">
        <v>78.260000000000005</v>
      </c>
      <c r="D225">
        <v>78.260000000000005</v>
      </c>
      <c r="E225">
        <v>0</v>
      </c>
      <c r="F225">
        <v>15</v>
      </c>
      <c r="G225">
        <v>1173.9000000000001</v>
      </c>
      <c r="H225" t="b">
        <v>0</v>
      </c>
      <c r="I225" t="s">
        <v>18</v>
      </c>
      <c r="J225">
        <v>15</v>
      </c>
    </row>
    <row r="226" spans="1:10" x14ac:dyDescent="0.25">
      <c r="A226" t="s">
        <v>31</v>
      </c>
      <c r="B226">
        <v>9</v>
      </c>
      <c r="C226">
        <v>78.260000000000005</v>
      </c>
      <c r="D226">
        <v>78.260000000000005</v>
      </c>
      <c r="E226">
        <v>0</v>
      </c>
      <c r="F226">
        <v>18</v>
      </c>
      <c r="G226">
        <v>1408.68</v>
      </c>
      <c r="H226" t="b">
        <v>0</v>
      </c>
      <c r="I226" t="s">
        <v>18</v>
      </c>
      <c r="J226">
        <v>18</v>
      </c>
    </row>
    <row r="227" spans="1:10" x14ac:dyDescent="0.25">
      <c r="A227" t="s">
        <v>31</v>
      </c>
      <c r="B227">
        <v>10</v>
      </c>
      <c r="C227">
        <v>78.260000000000005</v>
      </c>
      <c r="D227">
        <v>78.260000000000005</v>
      </c>
      <c r="E227">
        <v>0</v>
      </c>
      <c r="F227">
        <v>19</v>
      </c>
      <c r="G227">
        <v>1486.94</v>
      </c>
      <c r="H227" t="b">
        <v>0</v>
      </c>
      <c r="I227" t="s">
        <v>18</v>
      </c>
      <c r="J227">
        <v>19</v>
      </c>
    </row>
    <row r="228" spans="1:10" x14ac:dyDescent="0.25">
      <c r="A228" t="s">
        <v>31</v>
      </c>
      <c r="B228">
        <v>11</v>
      </c>
      <c r="C228">
        <v>78.260000000000005</v>
      </c>
      <c r="D228">
        <v>78.260000000000005</v>
      </c>
      <c r="E228">
        <v>0</v>
      </c>
      <c r="F228">
        <v>17</v>
      </c>
      <c r="G228">
        <v>1330.42</v>
      </c>
      <c r="H228" t="b">
        <v>0</v>
      </c>
      <c r="I228" t="s">
        <v>18</v>
      </c>
      <c r="J228">
        <v>17</v>
      </c>
    </row>
    <row r="229" spans="1:10" x14ac:dyDescent="0.25">
      <c r="A229" t="s">
        <v>31</v>
      </c>
      <c r="B229">
        <v>12</v>
      </c>
      <c r="C229">
        <v>78.260000000000005</v>
      </c>
      <c r="D229">
        <v>78.260000000000005</v>
      </c>
      <c r="E229">
        <v>0</v>
      </c>
      <c r="F229">
        <v>10</v>
      </c>
      <c r="G229">
        <v>782.6</v>
      </c>
      <c r="H229" t="b">
        <v>0</v>
      </c>
      <c r="I229" t="s">
        <v>18</v>
      </c>
      <c r="J229">
        <v>10</v>
      </c>
    </row>
    <row r="230" spans="1:10" x14ac:dyDescent="0.25">
      <c r="A230" t="s">
        <v>32</v>
      </c>
      <c r="B230">
        <v>1</v>
      </c>
      <c r="C230">
        <v>47.12</v>
      </c>
      <c r="D230">
        <v>47.12</v>
      </c>
      <c r="E230">
        <v>0</v>
      </c>
      <c r="F230">
        <v>31</v>
      </c>
      <c r="G230">
        <v>1460.72</v>
      </c>
      <c r="H230" t="b">
        <v>0</v>
      </c>
      <c r="I230" t="s">
        <v>18</v>
      </c>
      <c r="J230">
        <v>31</v>
      </c>
    </row>
    <row r="231" spans="1:10" x14ac:dyDescent="0.25">
      <c r="A231" t="s">
        <v>32</v>
      </c>
      <c r="B231">
        <v>2</v>
      </c>
      <c r="C231">
        <v>47.12</v>
      </c>
      <c r="D231">
        <v>47.12</v>
      </c>
      <c r="E231">
        <v>0</v>
      </c>
      <c r="F231">
        <v>28</v>
      </c>
      <c r="G231">
        <v>1319.36</v>
      </c>
      <c r="H231" t="b">
        <v>0</v>
      </c>
      <c r="I231" t="s">
        <v>18</v>
      </c>
      <c r="J231">
        <v>28</v>
      </c>
    </row>
    <row r="232" spans="1:10" x14ac:dyDescent="0.25">
      <c r="A232" t="s">
        <v>32</v>
      </c>
      <c r="B232">
        <v>3</v>
      </c>
      <c r="C232">
        <v>47.12</v>
      </c>
      <c r="D232">
        <v>47.12</v>
      </c>
      <c r="E232">
        <v>0</v>
      </c>
      <c r="F232">
        <v>26</v>
      </c>
      <c r="G232">
        <v>1225.1199999999999</v>
      </c>
      <c r="H232" t="b">
        <v>0</v>
      </c>
      <c r="I232" t="s">
        <v>18</v>
      </c>
      <c r="J232">
        <v>26</v>
      </c>
    </row>
    <row r="233" spans="1:10" x14ac:dyDescent="0.25">
      <c r="A233" t="s">
        <v>32</v>
      </c>
      <c r="B233">
        <v>4</v>
      </c>
      <c r="C233">
        <v>47.12</v>
      </c>
      <c r="D233">
        <v>47.12</v>
      </c>
      <c r="E233">
        <v>0</v>
      </c>
      <c r="F233">
        <v>25</v>
      </c>
      <c r="G233">
        <v>1178</v>
      </c>
      <c r="H233" t="b">
        <v>0</v>
      </c>
      <c r="I233" t="s">
        <v>18</v>
      </c>
      <c r="J233">
        <v>25</v>
      </c>
    </row>
    <row r="234" spans="1:10" x14ac:dyDescent="0.25">
      <c r="A234" t="s">
        <v>32</v>
      </c>
      <c r="B234">
        <v>5</v>
      </c>
      <c r="C234">
        <v>47.12</v>
      </c>
      <c r="D234">
        <v>47.12</v>
      </c>
      <c r="E234">
        <v>0</v>
      </c>
      <c r="F234">
        <v>23</v>
      </c>
      <c r="G234">
        <v>1083.76</v>
      </c>
      <c r="H234" t="b">
        <v>1</v>
      </c>
      <c r="I234" t="s">
        <v>18</v>
      </c>
      <c r="J234">
        <v>23</v>
      </c>
    </row>
    <row r="235" spans="1:10" x14ac:dyDescent="0.25">
      <c r="A235" t="s">
        <v>32</v>
      </c>
      <c r="B235">
        <v>6</v>
      </c>
      <c r="C235">
        <v>47.12</v>
      </c>
      <c r="D235">
        <v>47.12</v>
      </c>
      <c r="E235">
        <v>0</v>
      </c>
      <c r="F235">
        <v>19</v>
      </c>
      <c r="G235">
        <v>895.28</v>
      </c>
      <c r="H235" t="b">
        <v>1</v>
      </c>
      <c r="I235" t="s">
        <v>18</v>
      </c>
      <c r="J235">
        <v>19</v>
      </c>
    </row>
    <row r="236" spans="1:10" x14ac:dyDescent="0.25">
      <c r="A236" t="s">
        <v>32</v>
      </c>
      <c r="B236">
        <v>7</v>
      </c>
      <c r="C236">
        <v>47.12</v>
      </c>
      <c r="D236">
        <v>47.12</v>
      </c>
      <c r="E236">
        <v>0</v>
      </c>
      <c r="F236">
        <v>24</v>
      </c>
      <c r="G236">
        <v>1130.8800000000001</v>
      </c>
      <c r="H236" t="b">
        <v>0</v>
      </c>
      <c r="I236" t="s">
        <v>18</v>
      </c>
      <c r="J236">
        <v>24</v>
      </c>
    </row>
    <row r="237" spans="1:10" x14ac:dyDescent="0.25">
      <c r="A237" t="s">
        <v>32</v>
      </c>
      <c r="B237">
        <v>8</v>
      </c>
      <c r="C237">
        <v>47.12</v>
      </c>
      <c r="D237">
        <v>47.12</v>
      </c>
      <c r="E237">
        <v>0</v>
      </c>
      <c r="F237">
        <v>21</v>
      </c>
      <c r="G237">
        <v>989.52</v>
      </c>
      <c r="H237" t="b">
        <v>0</v>
      </c>
      <c r="I237" t="s">
        <v>18</v>
      </c>
      <c r="J237">
        <v>21</v>
      </c>
    </row>
    <row r="238" spans="1:10" x14ac:dyDescent="0.25">
      <c r="A238" t="s">
        <v>32</v>
      </c>
      <c r="B238">
        <v>9</v>
      </c>
      <c r="C238">
        <v>47.12</v>
      </c>
      <c r="D238">
        <v>47.12</v>
      </c>
      <c r="E238">
        <v>0</v>
      </c>
      <c r="F238">
        <v>22</v>
      </c>
      <c r="G238">
        <v>1036.6400000000001</v>
      </c>
      <c r="H238" t="b">
        <v>0</v>
      </c>
      <c r="I238" t="s">
        <v>18</v>
      </c>
      <c r="J238">
        <v>22</v>
      </c>
    </row>
    <row r="239" spans="1:10" x14ac:dyDescent="0.25">
      <c r="A239" t="s">
        <v>32</v>
      </c>
      <c r="B239">
        <v>10</v>
      </c>
      <c r="C239">
        <v>47.12</v>
      </c>
      <c r="D239">
        <v>47.12</v>
      </c>
      <c r="E239">
        <v>0</v>
      </c>
      <c r="F239">
        <v>16</v>
      </c>
      <c r="G239">
        <v>753.92</v>
      </c>
      <c r="H239" t="b">
        <v>0</v>
      </c>
      <c r="I239" t="s">
        <v>18</v>
      </c>
      <c r="J239">
        <v>16</v>
      </c>
    </row>
    <row r="240" spans="1:10" x14ac:dyDescent="0.25">
      <c r="A240" t="s">
        <v>32</v>
      </c>
      <c r="B240">
        <v>11</v>
      </c>
      <c r="C240">
        <v>47.12</v>
      </c>
      <c r="D240">
        <v>47.12</v>
      </c>
      <c r="E240">
        <v>0</v>
      </c>
      <c r="F240">
        <v>20</v>
      </c>
      <c r="G240">
        <v>942.4</v>
      </c>
      <c r="H240" t="b">
        <v>0</v>
      </c>
      <c r="I240" t="s">
        <v>18</v>
      </c>
      <c r="J240">
        <v>20</v>
      </c>
    </row>
    <row r="241" spans="1:10" x14ac:dyDescent="0.25">
      <c r="A241" t="s">
        <v>32</v>
      </c>
      <c r="B241">
        <v>12</v>
      </c>
      <c r="C241">
        <v>47.12</v>
      </c>
      <c r="D241">
        <v>47.12</v>
      </c>
      <c r="E241">
        <v>0</v>
      </c>
      <c r="F241">
        <v>13</v>
      </c>
      <c r="G241">
        <v>612.55999999999995</v>
      </c>
      <c r="H241" t="b">
        <v>0</v>
      </c>
      <c r="I241" t="s">
        <v>18</v>
      </c>
      <c r="J241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8259-DB0D-4DB7-A795-9AC99DA9022F}">
  <dimension ref="A1:M13"/>
  <sheetViews>
    <sheetView workbookViewId="0">
      <selection activeCell="N37" sqref="N37"/>
    </sheetView>
  </sheetViews>
  <sheetFormatPr defaultRowHeight="15" x14ac:dyDescent="0.25"/>
  <cols>
    <col min="1" max="1" width="17.5703125" customWidth="1"/>
    <col min="2" max="2" width="7.85546875" bestFit="1" customWidth="1"/>
    <col min="4" max="4" width="8.5703125" customWidth="1"/>
    <col min="5" max="5" width="12.85546875" customWidth="1"/>
    <col min="6" max="6" width="14" customWidth="1"/>
    <col min="9" max="9" width="11.5703125" bestFit="1" customWidth="1"/>
    <col min="10" max="10" width="17.5703125" customWidth="1"/>
    <col min="12" max="12" width="25.7109375" customWidth="1"/>
    <col min="13" max="13" width="13.140625" customWidth="1"/>
  </cols>
  <sheetData>
    <row r="1" spans="1:13" x14ac:dyDescent="0.25">
      <c r="A1" t="s">
        <v>54</v>
      </c>
      <c r="B1" t="s">
        <v>55</v>
      </c>
      <c r="D1" t="s">
        <v>64</v>
      </c>
      <c r="E1" t="s">
        <v>58</v>
      </c>
      <c r="F1" t="s">
        <v>59</v>
      </c>
      <c r="H1" t="s">
        <v>64</v>
      </c>
      <c r="I1" t="s">
        <v>58</v>
      </c>
      <c r="J1" t="s">
        <v>59</v>
      </c>
      <c r="L1" t="s">
        <v>48</v>
      </c>
      <c r="M1" t="s">
        <v>68</v>
      </c>
    </row>
    <row r="2" spans="1:13" x14ac:dyDescent="0.25">
      <c r="A2" t="s">
        <v>58</v>
      </c>
      <c r="B2">
        <f>SUMIFS(Table1[units_sold],Table1[style_id],"style_001",Table1[is_promo_week], TRUE)</f>
        <v>89</v>
      </c>
      <c r="D2">
        <v>1</v>
      </c>
      <c r="E2">
        <f>SUMIFS(Table1[units_sold],Table1[style_id], "style_001",Table1[week], D2)</f>
        <v>29</v>
      </c>
      <c r="F2">
        <f>SUMIFS(Table1[baseline_units],Table1[style_id], "style_001", Table1[week],D2)</f>
        <v>29.14</v>
      </c>
      <c r="H2">
        <v>1</v>
      </c>
      <c r="I2">
        <f>SUMIFS(Table1[units_sold],Table1[role], "adjacent", Table1[week], H2)</f>
        <v>87</v>
      </c>
      <c r="J2">
        <f>SUMIFS(Table1[baseline_units], Table1[role], "adjacent", Table1[week], H2)</f>
        <v>84.080000000000013</v>
      </c>
      <c r="L2" t="s">
        <v>65</v>
      </c>
      <c r="M2" s="2">
        <v>355</v>
      </c>
    </row>
    <row r="3" spans="1:13" x14ac:dyDescent="0.25">
      <c r="A3" t="s">
        <v>59</v>
      </c>
      <c r="B3">
        <f>SUMIFS(Table1[baseline_units],Table1[style_id], "style_001", Table1[is_promo_week], TRUE)</f>
        <v>48.989999999999995</v>
      </c>
      <c r="D3">
        <v>2</v>
      </c>
      <c r="E3">
        <f>SUMIFS(Table1[units_sold],Table1[style_id], "style_001",Table1[week], D3)</f>
        <v>29</v>
      </c>
      <c r="F3">
        <f>SUMIFS(Table1[baseline_units],Table1[style_id], "style_001", Table1[week],D3)</f>
        <v>27.81</v>
      </c>
      <c r="H3">
        <v>2</v>
      </c>
      <c r="I3">
        <f>SUMIFS(Table1[units_sold],Table1[role], "adjacent", Table1[week], H3)</f>
        <v>70</v>
      </c>
      <c r="J3">
        <f>SUMIFS(Table1[baseline_units], Table1[role], "adjacent", Table1[week], H3)</f>
        <v>80.25</v>
      </c>
      <c r="L3" t="s">
        <v>66</v>
      </c>
      <c r="M3" s="2">
        <v>-343</v>
      </c>
    </row>
    <row r="4" spans="1:13" x14ac:dyDescent="0.25">
      <c r="A4" t="s">
        <v>60</v>
      </c>
      <c r="B4">
        <f>B2-B3</f>
        <v>40.010000000000005</v>
      </c>
      <c r="D4">
        <v>3</v>
      </c>
      <c r="E4">
        <f>SUMIFS(Table1[units_sold],Table1[style_id], "style_001",Table1[week], D4)</f>
        <v>25</v>
      </c>
      <c r="F4">
        <f>SUMIFS(Table1[baseline_units],Table1[style_id], "style_001", Table1[week],D4)</f>
        <v>26.49</v>
      </c>
      <c r="H4">
        <v>3</v>
      </c>
      <c r="I4">
        <f>SUMIFS(Table1[units_sold],Table1[role], "adjacent", Table1[week], H4)</f>
        <v>82</v>
      </c>
      <c r="J4">
        <f>SUMIFS(Table1[baseline_units], Table1[role], "adjacent", Table1[week], H4)</f>
        <v>76.42</v>
      </c>
      <c r="L4" t="s">
        <v>52</v>
      </c>
      <c r="M4" s="2">
        <v>-216.56</v>
      </c>
    </row>
    <row r="5" spans="1:13" x14ac:dyDescent="0.25">
      <c r="A5" t="s">
        <v>61</v>
      </c>
      <c r="B5">
        <v>11.7</v>
      </c>
      <c r="D5">
        <v>4</v>
      </c>
      <c r="E5">
        <f>SUMIFS(Table1[units_sold],Table1[style_id], "style_001",Table1[week], D5)</f>
        <v>44</v>
      </c>
      <c r="F5">
        <f>SUMIFS(Table1[baseline_units],Table1[style_id], "style_001", Table1[week],D5)</f>
        <v>25.16</v>
      </c>
      <c r="H5">
        <v>4</v>
      </c>
      <c r="I5">
        <f>SUMIFS(Table1[units_sold],Table1[role], "adjacent", Table1[week], H5)</f>
        <v>67</v>
      </c>
      <c r="J5">
        <f>SUMIFS(Table1[baseline_units], Table1[role], "adjacent", Table1[week], H5)</f>
        <v>72.599999999999994</v>
      </c>
      <c r="L5" t="s">
        <v>67</v>
      </c>
      <c r="M5" s="2">
        <v>-204.56</v>
      </c>
    </row>
    <row r="6" spans="1:13" x14ac:dyDescent="0.25">
      <c r="A6" t="s">
        <v>62</v>
      </c>
      <c r="B6">
        <f>B4-B5</f>
        <v>28.310000000000006</v>
      </c>
      <c r="D6">
        <v>5</v>
      </c>
      <c r="E6">
        <f>SUMIFS(Table1[units_sold],Table1[style_id], "style_001",Table1[week], D6)</f>
        <v>45</v>
      </c>
      <c r="F6">
        <f>SUMIFS(Table1[baseline_units],Table1[style_id], "style_001", Table1[week],D6)</f>
        <v>23.83</v>
      </c>
      <c r="H6">
        <v>5</v>
      </c>
      <c r="I6">
        <f>SUMIFS(Table1[units_sold],Table1[role], "adjacent", Table1[week], H6)</f>
        <v>65</v>
      </c>
      <c r="J6">
        <f>SUMIFS(Table1[baseline_units], Table1[role], "adjacent", Table1[week], H6)</f>
        <v>68.760000000000005</v>
      </c>
    </row>
    <row r="7" spans="1:13" x14ac:dyDescent="0.25">
      <c r="A7" t="s">
        <v>63</v>
      </c>
      <c r="B7">
        <v>-204.56</v>
      </c>
      <c r="D7">
        <v>6</v>
      </c>
      <c r="E7">
        <f>SUMIFS(Table1[units_sold],Table1[style_id], "style_001",Table1[week], D7)</f>
        <v>21</v>
      </c>
      <c r="F7">
        <f>SUMIFS(Table1[baseline_units],Table1[style_id], "style_001", Table1[week],D7)</f>
        <v>22.5</v>
      </c>
      <c r="H7">
        <v>6</v>
      </c>
      <c r="I7">
        <f>SUMIFS(Table1[units_sold],Table1[role], "adjacent", Table1[week], H7)</f>
        <v>62</v>
      </c>
      <c r="J7">
        <f>SUMIFS(Table1[baseline_units], Table1[role], "adjacent", Table1[week], H7)</f>
        <v>64.95</v>
      </c>
    </row>
    <row r="8" spans="1:13" x14ac:dyDescent="0.25">
      <c r="A8" t="s">
        <v>57</v>
      </c>
      <c r="B8" s="1">
        <v>-0.59599999999999997</v>
      </c>
      <c r="D8">
        <v>7</v>
      </c>
      <c r="E8">
        <f>SUMIFS(Table1[units_sold],Table1[style_id], "style_001",Table1[week], D8)</f>
        <v>22</v>
      </c>
      <c r="F8">
        <f>SUMIFS(Table1[baseline_units],Table1[style_id], "style_001", Table1[week],D8)</f>
        <v>21.17</v>
      </c>
      <c r="H8">
        <v>7</v>
      </c>
      <c r="I8">
        <f>SUMIFS(Table1[units_sold],Table1[role], "adjacent", Table1[week], H8)</f>
        <v>60</v>
      </c>
      <c r="J8">
        <f>SUMIFS(Table1[baseline_units], Table1[role], "adjacent", Table1[week], H8)</f>
        <v>61.11</v>
      </c>
    </row>
    <row r="9" spans="1:13" x14ac:dyDescent="0.25">
      <c r="D9">
        <v>8</v>
      </c>
      <c r="E9">
        <f>SUMIFS(Table1[units_sold],Table1[style_id], "style_001",Table1[week], D9)</f>
        <v>22</v>
      </c>
      <c r="F9">
        <f>SUMIFS(Table1[baseline_units],Table1[style_id], "style_001", Table1[week],D9)</f>
        <v>19.84</v>
      </c>
      <c r="H9">
        <v>8</v>
      </c>
      <c r="I9">
        <f>SUMIFS(Table1[units_sold],Table1[role], "adjacent", Table1[week], H9)</f>
        <v>61</v>
      </c>
      <c r="J9">
        <f>SUMIFS(Table1[baseline_units], Table1[role], "adjacent", Table1[week], H9)</f>
        <v>57.29</v>
      </c>
    </row>
    <row r="10" spans="1:13" x14ac:dyDescent="0.25">
      <c r="D10">
        <v>9</v>
      </c>
      <c r="E10">
        <f>SUMIFS(Table1[units_sold],Table1[style_id], "style_001",Table1[week], D10)</f>
        <v>18</v>
      </c>
      <c r="F10">
        <f>SUMIFS(Table1[baseline_units],Table1[style_id], "style_001", Table1[week],D10)</f>
        <v>18.510000000000002</v>
      </c>
      <c r="H10">
        <v>9</v>
      </c>
      <c r="I10">
        <f>SUMIFS(Table1[units_sold],Table1[role], "adjacent", Table1[week], H10)</f>
        <v>63</v>
      </c>
      <c r="J10">
        <f>SUMIFS(Table1[baseline_units], Table1[role], "adjacent", Table1[week], H10)</f>
        <v>53.46</v>
      </c>
    </row>
    <row r="11" spans="1:13" x14ac:dyDescent="0.25">
      <c r="D11">
        <v>10</v>
      </c>
      <c r="E11">
        <f>SUMIFS(Table1[units_sold],Table1[style_id], "style_001",Table1[week], D11)</f>
        <v>18</v>
      </c>
      <c r="F11">
        <f>SUMIFS(Table1[baseline_units],Table1[style_id], "style_001", Table1[week],D11)</f>
        <v>17.18</v>
      </c>
      <c r="H11">
        <v>10</v>
      </c>
      <c r="I11">
        <f>SUMIFS(Table1[units_sold],Table1[role], "adjacent", Table1[week], H11)</f>
        <v>50</v>
      </c>
      <c r="J11">
        <f>SUMIFS(Table1[baseline_units], Table1[role], "adjacent", Table1[week], H11)</f>
        <v>49.64</v>
      </c>
    </row>
    <row r="12" spans="1:13" x14ac:dyDescent="0.25">
      <c r="D12">
        <v>11</v>
      </c>
      <c r="E12">
        <f>SUMIFS(Table1[units_sold],Table1[style_id], "style_001",Table1[week], D12)</f>
        <v>15</v>
      </c>
      <c r="F12">
        <f>SUMIFS(Table1[baseline_units],Table1[style_id], "style_001", Table1[week],D12)</f>
        <v>15.85</v>
      </c>
      <c r="H12">
        <v>11</v>
      </c>
      <c r="I12">
        <f>SUMIFS(Table1[units_sold],Table1[role], "adjacent", Table1[week], H12)</f>
        <v>45</v>
      </c>
      <c r="J12">
        <f>SUMIFS(Table1[baseline_units], Table1[role], "adjacent", Table1[week], H12)</f>
        <v>45.82</v>
      </c>
    </row>
    <row r="13" spans="1:13" x14ac:dyDescent="0.25">
      <c r="D13">
        <v>12</v>
      </c>
      <c r="E13">
        <f>SUMIFS(Table1[units_sold],Table1[style_id], "style_001",Table1[week], D13)</f>
        <v>14</v>
      </c>
      <c r="F13">
        <f>SUMIFS(Table1[baseline_units],Table1[style_id], "style_001", Table1[week],D13)</f>
        <v>14.52</v>
      </c>
      <c r="H13">
        <v>12</v>
      </c>
      <c r="I13">
        <f>SUMIFS(Table1[units_sold],Table1[role], "adjacent", Table1[week], H13)</f>
        <v>35</v>
      </c>
      <c r="J13">
        <f>SUMIFS(Table1[baseline_units], Table1[role], "adjacent", Table1[week], H13)</f>
        <v>41.99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8821-9788-421D-8F8C-7F868D235C09}">
  <dimension ref="A1:M13"/>
  <sheetViews>
    <sheetView workbookViewId="0">
      <selection activeCell="N37" sqref="N37"/>
    </sheetView>
  </sheetViews>
  <sheetFormatPr defaultRowHeight="15" x14ac:dyDescent="0.25"/>
  <cols>
    <col min="1" max="1" width="17.5703125" customWidth="1"/>
    <col min="2" max="2" width="7.85546875" bestFit="1" customWidth="1"/>
    <col min="4" max="4" width="8.5703125" customWidth="1"/>
    <col min="5" max="5" width="12.85546875" customWidth="1"/>
    <col min="6" max="6" width="14" customWidth="1"/>
    <col min="9" max="9" width="11.5703125" bestFit="1" customWidth="1"/>
    <col min="10" max="10" width="17.5703125" customWidth="1"/>
    <col min="12" max="12" width="25.7109375" customWidth="1"/>
    <col min="13" max="13" width="13.140625" customWidth="1"/>
  </cols>
  <sheetData>
    <row r="1" spans="1:13" x14ac:dyDescent="0.25">
      <c r="A1" t="s">
        <v>54</v>
      </c>
      <c r="B1" t="s">
        <v>55</v>
      </c>
      <c r="D1" t="s">
        <v>64</v>
      </c>
      <c r="E1" t="s">
        <v>58</v>
      </c>
      <c r="F1" t="s">
        <v>59</v>
      </c>
      <c r="H1" t="s">
        <v>64</v>
      </c>
      <c r="I1" t="s">
        <v>58</v>
      </c>
      <c r="J1" t="s">
        <v>59</v>
      </c>
      <c r="L1" t="s">
        <v>48</v>
      </c>
      <c r="M1" t="s">
        <v>68</v>
      </c>
    </row>
    <row r="2" spans="1:13" x14ac:dyDescent="0.25">
      <c r="A2" t="s">
        <v>58</v>
      </c>
      <c r="B2">
        <f>SUMIFS(Table2[units_sold],Table2[style_id],"style_001",Table2[is_promo_week], TRUE)</f>
        <v>82</v>
      </c>
      <c r="D2">
        <v>1</v>
      </c>
      <c r="E2">
        <f>SUMIFS(Table2[units_sold],Table2[style_id], "style_001",Table2[week], D2)</f>
        <v>31</v>
      </c>
      <c r="F2">
        <f>SUMIFS(Table2[baseline_units],Table2[style_id], "style_001", Table2[week],D2)</f>
        <v>28.35</v>
      </c>
      <c r="H2">
        <v>1</v>
      </c>
      <c r="I2">
        <f>SUMIFS(Table2[units_sold],Table2[role], "adjacent", Table2[week], H2)</f>
        <v>90</v>
      </c>
      <c r="J2">
        <f>SUMIFS(Table2[baseline_units], Table2[role], "adjacent", Table2[week], H2)</f>
        <v>85.75</v>
      </c>
      <c r="L2" t="s">
        <v>65</v>
      </c>
      <c r="M2" s="2">
        <v>355</v>
      </c>
    </row>
    <row r="3" spans="1:13" x14ac:dyDescent="0.25">
      <c r="A3" t="s">
        <v>59</v>
      </c>
      <c r="B3">
        <f>SUMIFS(Table2[baseline_units],Table2[style_id], "style_001", Table2[is_promo_week], TRUE)</f>
        <v>46.67</v>
      </c>
      <c r="D3">
        <v>2</v>
      </c>
      <c r="E3">
        <f>SUMIFS(Table2[units_sold],Table2[style_id], "style_001",Table2[week], D3)</f>
        <v>26</v>
      </c>
      <c r="F3">
        <f>SUMIFS(Table2[baseline_units],Table2[style_id], "style_001", Table2[week],D3)</f>
        <v>27.23</v>
      </c>
      <c r="H3">
        <v>2</v>
      </c>
      <c r="I3">
        <f>SUMIFS(Table2[units_sold],Table2[role], "adjacent", Table2[week], H3)</f>
        <v>77</v>
      </c>
      <c r="J3">
        <f>SUMIFS(Table2[baseline_units], Table2[role], "adjacent", Table2[week], H3)</f>
        <v>82.33</v>
      </c>
      <c r="L3" t="s">
        <v>66</v>
      </c>
      <c r="M3" s="2">
        <v>-196.14</v>
      </c>
    </row>
    <row r="4" spans="1:13" x14ac:dyDescent="0.25">
      <c r="A4" t="s">
        <v>60</v>
      </c>
      <c r="B4">
        <f>B2-B3</f>
        <v>35.33</v>
      </c>
      <c r="D4">
        <v>3</v>
      </c>
      <c r="E4">
        <f>SUMIFS(Table2[units_sold],Table2[style_id], "style_001",Table2[week], D4)</f>
        <v>25</v>
      </c>
      <c r="F4">
        <f>SUMIFS(Table2[baseline_units],Table2[style_id], "style_001", Table2[week],D4)</f>
        <v>26.12</v>
      </c>
      <c r="H4">
        <v>3</v>
      </c>
      <c r="I4">
        <f>SUMIFS(Table2[units_sold],Table2[role], "adjacent", Table2[week], H4)</f>
        <v>83</v>
      </c>
      <c r="J4">
        <f>SUMIFS(Table2[baseline_units], Table2[role], "adjacent", Table2[week], H4)</f>
        <v>78.930000000000007</v>
      </c>
      <c r="L4" t="s">
        <v>52</v>
      </c>
      <c r="M4" s="2">
        <v>-32.65</v>
      </c>
    </row>
    <row r="5" spans="1:13" x14ac:dyDescent="0.25">
      <c r="A5" t="s">
        <v>61</v>
      </c>
      <c r="B5">
        <v>1.8</v>
      </c>
      <c r="D5">
        <v>4</v>
      </c>
      <c r="E5">
        <f>SUMIFS(Table2[units_sold],Table2[style_id], "style_001",Table2[week], D5)</f>
        <v>22</v>
      </c>
      <c r="F5">
        <f>SUMIFS(Table2[baseline_units],Table2[style_id], "style_001", Table2[week],D5)</f>
        <v>25.01</v>
      </c>
      <c r="H5">
        <v>4</v>
      </c>
      <c r="I5">
        <f>SUMIFS(Table2[units_sold],Table2[role], "adjacent", Table2[week], H5)</f>
        <v>70</v>
      </c>
      <c r="J5">
        <f>SUMIFS(Table2[baseline_units], Table2[role], "adjacent", Table2[week], H5)</f>
        <v>75.52</v>
      </c>
      <c r="L5" t="s">
        <v>67</v>
      </c>
      <c r="M5" s="2">
        <v>115.46</v>
      </c>
    </row>
    <row r="6" spans="1:13" x14ac:dyDescent="0.25">
      <c r="A6" t="s">
        <v>62</v>
      </c>
      <c r="B6">
        <f>B4-B5</f>
        <v>33.53</v>
      </c>
      <c r="D6">
        <v>5</v>
      </c>
      <c r="E6">
        <f>SUMIFS(Table2[units_sold],Table2[style_id], "style_001",Table2[week], D6)</f>
        <v>47</v>
      </c>
      <c r="F6">
        <f>SUMIFS(Table2[baseline_units],Table2[style_id], "style_001", Table2[week],D6)</f>
        <v>23.89</v>
      </c>
      <c r="H6">
        <v>5</v>
      </c>
      <c r="I6">
        <f>SUMIFS(Table2[units_sold],Table2[role], "adjacent", Table2[week], H6)</f>
        <v>64</v>
      </c>
      <c r="J6">
        <f>SUMIFS(Table2[baseline_units], Table2[role], "adjacent", Table2[week], H6)</f>
        <v>72.099999999999994</v>
      </c>
    </row>
    <row r="7" spans="1:13" x14ac:dyDescent="0.25">
      <c r="A7" t="s">
        <v>63</v>
      </c>
      <c r="B7">
        <v>115.46</v>
      </c>
      <c r="D7">
        <v>6</v>
      </c>
      <c r="E7">
        <f>SUMIFS(Table2[units_sold],Table2[style_id], "style_001",Table2[week], D7)</f>
        <v>35</v>
      </c>
      <c r="F7">
        <f>SUMIFS(Table2[baseline_units],Table2[style_id], "style_001", Table2[week],D7)</f>
        <v>22.78</v>
      </c>
      <c r="H7">
        <v>6</v>
      </c>
      <c r="I7">
        <f>SUMIFS(Table2[units_sold],Table2[role], "adjacent", Table2[week], H7)</f>
        <v>64</v>
      </c>
      <c r="J7">
        <f>SUMIFS(Table2[baseline_units], Table2[role], "adjacent", Table2[week], H7)</f>
        <v>68.69</v>
      </c>
    </row>
    <row r="8" spans="1:13" x14ac:dyDescent="0.25">
      <c r="A8" t="s">
        <v>57</v>
      </c>
      <c r="B8" s="1">
        <v>0.58899999999999997</v>
      </c>
      <c r="D8">
        <v>7</v>
      </c>
      <c r="E8">
        <f>SUMIFS(Table2[units_sold],Table2[style_id], "style_001",Table2[week], D8)</f>
        <v>23</v>
      </c>
      <c r="F8">
        <f>SUMIFS(Table2[baseline_units],Table2[style_id], "style_001", Table2[week],D8)</f>
        <v>21.67</v>
      </c>
      <c r="H8">
        <v>7</v>
      </c>
      <c r="I8">
        <f>SUMIFS(Table2[units_sold],Table2[role], "adjacent", Table2[week], H8)</f>
        <v>62</v>
      </c>
      <c r="J8">
        <f>SUMIFS(Table2[baseline_units], Table2[role], "adjacent", Table2[week], H8)</f>
        <v>65.28</v>
      </c>
    </row>
    <row r="9" spans="1:13" x14ac:dyDescent="0.25">
      <c r="D9">
        <v>8</v>
      </c>
      <c r="E9">
        <f>SUMIFS(Table2[units_sold],Table2[style_id], "style_001",Table2[week], D9)</f>
        <v>21</v>
      </c>
      <c r="F9">
        <f>SUMIFS(Table2[baseline_units],Table2[style_id], "style_001", Table2[week],D9)</f>
        <v>20.55</v>
      </c>
      <c r="H9">
        <v>8</v>
      </c>
      <c r="I9">
        <f>SUMIFS(Table2[units_sold],Table2[role], "adjacent", Table2[week], H9)</f>
        <v>65</v>
      </c>
      <c r="J9">
        <f>SUMIFS(Table2[baseline_units], Table2[role], "adjacent", Table2[week], H9)</f>
        <v>61.87</v>
      </c>
    </row>
    <row r="10" spans="1:13" x14ac:dyDescent="0.25">
      <c r="D10">
        <v>9</v>
      </c>
      <c r="E10">
        <f>SUMIFS(Table2[units_sold],Table2[style_id], "style_001",Table2[week], D10)</f>
        <v>20</v>
      </c>
      <c r="F10">
        <f>SUMIFS(Table2[baseline_units],Table2[style_id], "style_001", Table2[week],D10)</f>
        <v>19.440000000000001</v>
      </c>
      <c r="H10">
        <v>9</v>
      </c>
      <c r="I10">
        <f>SUMIFS(Table2[units_sold],Table2[role], "adjacent", Table2[week], H10)</f>
        <v>62</v>
      </c>
      <c r="J10">
        <f>SUMIFS(Table2[baseline_units], Table2[role], "adjacent", Table2[week], H10)</f>
        <v>58.449999999999996</v>
      </c>
    </row>
    <row r="11" spans="1:13" x14ac:dyDescent="0.25">
      <c r="D11">
        <v>10</v>
      </c>
      <c r="E11">
        <f>SUMIFS(Table2[units_sold],Table2[style_id], "style_001",Table2[week], D11)</f>
        <v>22</v>
      </c>
      <c r="F11">
        <f>SUMIFS(Table2[baseline_units],Table2[style_id], "style_001", Table2[week],D11)</f>
        <v>18.329999999999998</v>
      </c>
      <c r="H11">
        <v>10</v>
      </c>
      <c r="I11">
        <f>SUMIFS(Table2[units_sold],Table2[role], "adjacent", Table2[week], H11)</f>
        <v>54</v>
      </c>
      <c r="J11">
        <f>SUMIFS(Table2[baseline_units], Table2[role], "adjacent", Table2[week], H11)</f>
        <v>55.04</v>
      </c>
    </row>
    <row r="12" spans="1:13" x14ac:dyDescent="0.25">
      <c r="D12">
        <v>11</v>
      </c>
      <c r="E12">
        <f>SUMIFS(Table2[units_sold],Table2[style_id], "style_001",Table2[week], D12)</f>
        <v>17</v>
      </c>
      <c r="F12">
        <f>SUMIFS(Table2[baseline_units],Table2[style_id], "style_001", Table2[week],D12)</f>
        <v>17.21</v>
      </c>
      <c r="H12">
        <v>11</v>
      </c>
      <c r="I12">
        <f>SUMIFS(Table2[units_sold],Table2[role], "adjacent", Table2[week], H12)</f>
        <v>61</v>
      </c>
      <c r="J12">
        <f>SUMIFS(Table2[baseline_units], Table2[role], "adjacent", Table2[week], H12)</f>
        <v>51.63</v>
      </c>
    </row>
    <row r="13" spans="1:13" x14ac:dyDescent="0.25">
      <c r="D13">
        <v>12</v>
      </c>
      <c r="E13">
        <f>SUMIFS(Table2[units_sold],Table2[style_id], "style_001",Table2[week], D13)</f>
        <v>13</v>
      </c>
      <c r="F13">
        <f>SUMIFS(Table2[baseline_units],Table2[style_id], "style_001", Table2[week],D13)</f>
        <v>16.100000000000001</v>
      </c>
      <c r="H13">
        <v>12</v>
      </c>
      <c r="I13">
        <f>SUMIFS(Table2[units_sold],Table2[role], "adjacent", Table2[week], H13)</f>
        <v>39</v>
      </c>
      <c r="J13">
        <f>SUMIFS(Table2[baseline_units], Table2[role], "adjacent", Table2[week], H13)</f>
        <v>48.209999999999994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25% Promo</vt:lpstr>
      <vt:lpstr>15% Promo</vt:lpstr>
      <vt:lpstr>Data1</vt:lpstr>
      <vt:lpstr>Data2</vt:lpstr>
      <vt:lpstr>Calcs1</vt:lpstr>
      <vt:lpstr>Calcs2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Adams</dc:creator>
  <cp:lastModifiedBy>Jeffrey Adams</cp:lastModifiedBy>
  <cp:lastPrinted>2026-05-21T22:42:19Z</cp:lastPrinted>
  <dcterms:created xsi:type="dcterms:W3CDTF">2026-05-21T21:16:18Z</dcterms:created>
  <dcterms:modified xsi:type="dcterms:W3CDTF">2026-05-27T17:45:14Z</dcterms:modified>
</cp:coreProperties>
</file>